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5"/>
    <sheet state="visible" name="Palpites" sheetId="2" r:id="rId6"/>
    <sheet state="visible" name="chave" sheetId="3" r:id="rId7"/>
    <sheet state="visible" name="multipl" sheetId="4" r:id="rId8"/>
    <sheet state="visible" name="result" sheetId="5" r:id="rId9"/>
    <sheet state="visible" name="placar_tipo" sheetId="6" r:id="rId10"/>
    <sheet state="visible" name="placar_fase" sheetId="7" r:id="rId11"/>
  </sheets>
  <definedNames/>
  <calcPr/>
</workbook>
</file>

<file path=xl/sharedStrings.xml><?xml version="1.0" encoding="utf-8"?>
<sst xmlns="http://schemas.openxmlformats.org/spreadsheetml/2006/main" count="505" uniqueCount="164">
  <si>
    <t>Jogo</t>
  </si>
  <si>
    <t>DS</t>
  </si>
  <si>
    <t>Dia local</t>
  </si>
  <si>
    <t>Dia Br</t>
  </si>
  <si>
    <t>Hora Br</t>
  </si>
  <si>
    <t>Fase</t>
  </si>
  <si>
    <t>Seleção 1</t>
  </si>
  <si>
    <t>Seleção 2</t>
  </si>
  <si>
    <t>considerar</t>
  </si>
  <si>
    <t>Jogo Web App</t>
  </si>
  <si>
    <t>golsSel1</t>
  </si>
  <si>
    <t>golsSel2</t>
  </si>
  <si>
    <t>permiteEdicaoResultado</t>
  </si>
  <si>
    <t>grupo A</t>
  </si>
  <si>
    <t>México</t>
  </si>
  <si>
    <t>África do Sul</t>
  </si>
  <si>
    <t>Coreia do Sul</t>
  </si>
  <si>
    <t>Rep. Tcheca</t>
  </si>
  <si>
    <t>grupo B</t>
  </si>
  <si>
    <t>Canadá</t>
  </si>
  <si>
    <t>Bósnia e H</t>
  </si>
  <si>
    <t>grupo D</t>
  </si>
  <si>
    <t>Estados Unidos</t>
  </si>
  <si>
    <t>Paraguai</t>
  </si>
  <si>
    <t>Catar</t>
  </si>
  <si>
    <t>Suíça</t>
  </si>
  <si>
    <t>grupo C</t>
  </si>
  <si>
    <t>Brasil</t>
  </si>
  <si>
    <t>Marrocos</t>
  </si>
  <si>
    <t>Haiti</t>
  </si>
  <si>
    <t>Escócia</t>
  </si>
  <si>
    <t>Austrália</t>
  </si>
  <si>
    <t>Turquia</t>
  </si>
  <si>
    <t>grupo E</t>
  </si>
  <si>
    <t>Alemanha</t>
  </si>
  <si>
    <t>Curaçau</t>
  </si>
  <si>
    <t>grupo F</t>
  </si>
  <si>
    <t>Holanda</t>
  </si>
  <si>
    <t>Japão</t>
  </si>
  <si>
    <t>Costa do Marfim</t>
  </si>
  <si>
    <t>Equador</t>
  </si>
  <si>
    <t>Suécia</t>
  </si>
  <si>
    <t>Tunísia</t>
  </si>
  <si>
    <t>grupo H</t>
  </si>
  <si>
    <t>Espanha</t>
  </si>
  <si>
    <t>Cabo Verde</t>
  </si>
  <si>
    <t>grupo G</t>
  </si>
  <si>
    <t>Bélgica</t>
  </si>
  <si>
    <t>Egito</t>
  </si>
  <si>
    <t>Arábia Saudita</t>
  </si>
  <si>
    <t>Uruguai</t>
  </si>
  <si>
    <t>Irã</t>
  </si>
  <si>
    <t>Nova Zelândia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</si>
  <si>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</si>
  <si>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</si>
  <si>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</si>
  <si>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</si>
  <si>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</si>
  <si>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</si>
  <si>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</si>
  <si>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</si>
  <si>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</si>
  <si>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</si>
  <si>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</si>
  <si>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</si>
  <si>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Congo</t>
  </si>
  <si>
    <t>grupo L</t>
  </si>
  <si>
    <t>Inglaterra</t>
  </si>
  <si>
    <t>Croácia</t>
  </si>
  <si>
    <t>Gana</t>
  </si>
  <si>
    <t>Panamá</t>
  </si>
  <si>
    <t>Uzbequistão</t>
  </si>
  <si>
    <t>Colômbia</t>
  </si>
  <si>
    <t>16-avos</t>
  </si>
  <si>
    <t>2.º grupo A</t>
  </si>
  <si>
    <t>2.º grupo B</t>
  </si>
  <si>
    <t>1.º grupo E</t>
  </si>
  <si>
    <t>3.º gr A/B/C/D/F</t>
  </si>
  <si>
    <t>1.º grupo F</t>
  </si>
  <si>
    <t>2.º grupo C</t>
  </si>
  <si>
    <t>1.º grupo C</t>
  </si>
  <si>
    <t>2.º grupo F</t>
  </si>
  <si>
    <t>2.º grupo E</t>
  </si>
  <si>
    <t>2.º grupo I</t>
  </si>
  <si>
    <t>1.º grupo I</t>
  </si>
  <si>
    <t>3.º gr C/D/F/G/H</t>
  </si>
  <si>
    <t>1.º grupo A</t>
  </si>
  <si>
    <t>3.º gr C/E/F/H/I</t>
  </si>
  <si>
    <t>1.º grupo L</t>
  </si>
  <si>
    <t>3.º gr E/H/I/J/K</t>
  </si>
  <si>
    <t>1.º grupo G</t>
  </si>
  <si>
    <t>3.º gr A/E/H/I/J</t>
  </si>
  <si>
    <t>1.º grupo D</t>
  </si>
  <si>
    <t>3.º gr B/E/F/I/J</t>
  </si>
  <si>
    <t>2.º grupo K</t>
  </si>
  <si>
    <t>2.º grupo L</t>
  </si>
  <si>
    <t>1.º grupo H</t>
  </si>
  <si>
    <t>2.º grupo J</t>
  </si>
  <si>
    <t>1.º grupo B</t>
  </si>
  <si>
    <t>3.º gr E/F/G/I/J</t>
  </si>
  <si>
    <t>2.º grupo D</t>
  </si>
  <si>
    <t>2.º grupo G</t>
  </si>
  <si>
    <t>1.º grupo J</t>
  </si>
  <si>
    <t>2.º grupo H</t>
  </si>
  <si>
    <t>1.º grupo K</t>
  </si>
  <si>
    <t>3.º gr D/E/I/J/L</t>
  </si>
  <si>
    <t>oitavas</t>
  </si>
  <si>
    <t>Vencedor 73</t>
  </si>
  <si>
    <t>Vencedor 75</t>
  </si>
  <si>
    <t>Vencedor 74</t>
  </si>
  <si>
    <t>Vencedor 77</t>
  </si>
  <si>
    <t>Vencedor 76</t>
  </si>
  <si>
    <t>Vencedor 78</t>
  </si>
  <si>
    <t>Vencedor 79</t>
  </si>
  <si>
    <t>Vencedor 80</t>
  </si>
  <si>
    <t>Vencedor 83</t>
  </si>
  <si>
    <t>Vencedor 84</t>
  </si>
  <si>
    <t>Vencedor 81</t>
  </si>
  <si>
    <t>Vencedor 82</t>
  </si>
  <si>
    <t>Vencedor 86</t>
  </si>
  <si>
    <t>Vencedor 88</t>
  </si>
  <si>
    <t>Vencedor 85</t>
  </si>
  <si>
    <t>Vencedor 87</t>
  </si>
  <si>
    <t>quartas</t>
  </si>
  <si>
    <t>Vencedor 89</t>
  </si>
  <si>
    <t>Vencedor 90</t>
  </si>
  <si>
    <t>Vencedor 93</t>
  </si>
  <si>
    <t>Vencedor 94</t>
  </si>
  <si>
    <t>Vencedor 91</t>
  </si>
  <si>
    <t>Vencedor 92</t>
  </si>
  <si>
    <t>Vencedor 95</t>
  </si>
  <si>
    <t>Vencedor 96</t>
  </si>
  <si>
    <t>semifinal</t>
  </si>
  <si>
    <t>Vencedor 97</t>
  </si>
  <si>
    <t>Vencedor 98</t>
  </si>
  <si>
    <t>Vencedor 99</t>
  </si>
  <si>
    <t>Vencedor 100</t>
  </si>
  <si>
    <t>3.o lugar</t>
  </si>
  <si>
    <t>Perdedor 101</t>
  </si>
  <si>
    <t>Perdedor 102</t>
  </si>
  <si>
    <t>final</t>
  </si>
  <si>
    <t>Vencedor 101</t>
  </si>
  <si>
    <t>Vencedor 102</t>
  </si>
  <si>
    <t>jogo</t>
  </si>
  <si>
    <t>usuario</t>
  </si>
  <si>
    <t>timestamp</t>
  </si>
  <si>
    <t>gols_selecao1</t>
  </si>
  <si>
    <t>gols_selecao2</t>
  </si>
  <si>
    <t>jbbinder@gmail.com</t>
  </si>
  <si>
    <t>juliano3142@gmail.com</t>
  </si>
  <si>
    <t>vanialuciane@gmail.com</t>
  </si>
  <si>
    <t>grupo</t>
  </si>
  <si>
    <t>Seleção</t>
  </si>
  <si>
    <t>cabeça</t>
  </si>
  <si>
    <t>x</t>
  </si>
  <si>
    <t>Grupo</t>
  </si>
  <si>
    <t>multiplicador</t>
  </si>
  <si>
    <t>fase</t>
  </si>
  <si>
    <t>pt_venc</t>
  </si>
  <si>
    <t>pt_placar</t>
  </si>
  <si>
    <t>pt_gols</t>
  </si>
  <si>
    <t>pt_total</t>
  </si>
  <si>
    <t>grupos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</si>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</sst>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1.0"/>
      <color theme="1"/>
      <name val="Aptos Narrow"/>
      <scheme val="minor"/>
    </font>
    <font>
      <b/>
      <sz val="11.0"/>
      <color theme="0"/>
      <name val="Aptos Narrow"/>
    </font>
    <font>
      <b/>
      <sz val="11.0"/>
      <color rgb="FFFFFFFF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7">
    <border/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/>
      <top/>
      <bottom/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3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3" fontId="3" numFmtId="14" xfId="0" applyAlignment="1" applyBorder="1" applyFont="1" applyNumberFormat="1">
      <alignment horizontal="center"/>
    </xf>
    <xf borderId="2" fillId="3" fontId="4" numFmtId="14" xfId="0" applyAlignment="1" applyBorder="1" applyFont="1" applyNumberFormat="1">
      <alignment horizontal="center" readingOrder="0" vertical="bottom"/>
    </xf>
    <xf borderId="2" fillId="3" fontId="3" numFmtId="20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5" fillId="0" fontId="3" numFmtId="0" xfId="0" applyAlignment="1" applyBorder="1" applyFont="1">
      <alignment horizontal="center"/>
    </xf>
    <xf borderId="6" fillId="0" fontId="3" numFmtId="14" xfId="0" applyAlignment="1" applyBorder="1" applyFont="1" applyNumberFormat="1">
      <alignment horizontal="center"/>
    </xf>
    <xf borderId="6" fillId="0" fontId="3" numFmtId="14" xfId="0" applyAlignment="1" applyBorder="1" applyFont="1" applyNumberFormat="1">
      <alignment horizontal="center" vertical="bottom"/>
    </xf>
    <xf borderId="6" fillId="0" fontId="3" numFmtId="20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/>
    </xf>
    <xf borderId="2" fillId="3" fontId="3" numFmtId="14" xfId="0" applyAlignment="1" applyBorder="1" applyFont="1" applyNumberFormat="1">
      <alignment horizontal="center" vertical="bottom"/>
    </xf>
    <xf borderId="6" fillId="0" fontId="3" numFmtId="20" xfId="0" applyAlignment="1" applyBorder="1" applyFont="1" applyNumberFormat="1">
      <alignment horizontal="center"/>
    </xf>
    <xf borderId="2" fillId="3" fontId="3" numFmtId="20" xfId="0" applyAlignment="1" applyBorder="1" applyFont="1" applyNumberFormat="1">
      <alignment horizont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0" fillId="0" fontId="6" numFmtId="0" xfId="0" applyFont="1"/>
    <xf borderId="0" fillId="0" fontId="6" numFmtId="164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5.0"/>
    <col customWidth="1" min="3" max="4" width="10.38"/>
    <col customWidth="1" min="5" max="5" width="12.0"/>
    <col customWidth="1" min="6" max="6" width="9.25"/>
    <col customWidth="1" min="7" max="8" width="15.63"/>
    <col customWidth="1" min="9" max="9" width="12.13"/>
    <col customWidth="1" min="10" max="10" width="47.63"/>
    <col customWidth="1" min="11" max="11" width="10.75"/>
    <col customWidth="1" min="12" max="12" width="11.25"/>
    <col customWidth="1" min="13" max="13" width="25.38"/>
    <col customWidth="1" min="14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</row>
    <row r="2">
      <c r="A2" s="5">
        <v>1.0</v>
      </c>
      <c r="B2" s="6" t="str">
        <f t="shared" ref="B2:B105" si="1">TEXT(D2,"ddd")</f>
        <v>Fri</v>
      </c>
      <c r="C2" s="7">
        <f t="shared" ref="C2:C105" si="2">IF(E2&gt;0.5,D2,D2-1)</f>
        <v>46164</v>
      </c>
      <c r="D2" s="8">
        <v>46164.0</v>
      </c>
      <c r="E2" s="9">
        <v>0.6666666666666666</v>
      </c>
      <c r="F2" s="10" t="s">
        <v>13</v>
      </c>
      <c r="G2" s="6" t="s">
        <v>14</v>
      </c>
      <c r="H2" s="6" t="s">
        <v>15</v>
      </c>
      <c r="I2" s="6">
        <f>IF(OR(LEFT(F2,5)&lt;&gt;"grupo",IFERROR(VLOOKUP(G2,chave!$B$2:$C$49,2,FALSE),"x")="x",IFERROR(VLOOKUP(H2,chave!$B$2:$C$49,2,FALSE),"x")="x"),1,0)</f>
        <v>1</v>
      </c>
      <c r="J2" s="11" t="str">
        <f t="shared" ref="J2:J105" si="3">TEXT(D2,"dd/mm")&amp;" "&amp;TEXT(E2,"HH:MM")&amp;" - "&amp;F2&amp;" - "&amp;G2&amp;" x "&amp;H2</f>
        <v>22/05 16:00 - grupo A - México x África do Sul</v>
      </c>
      <c r="K2" s="12">
        <v>9.0</v>
      </c>
      <c r="L2" s="12">
        <v>9.0</v>
      </c>
      <c r="M2" s="12">
        <v>1.0</v>
      </c>
    </row>
    <row r="3">
      <c r="A3" s="13">
        <v>2.0</v>
      </c>
      <c r="B3" s="6" t="str">
        <f t="shared" si="1"/>
        <v>Thu</v>
      </c>
      <c r="C3" s="14">
        <f t="shared" si="2"/>
        <v>46184</v>
      </c>
      <c r="D3" s="15">
        <v>46184.0</v>
      </c>
      <c r="E3" s="16">
        <v>0.9583333333333334</v>
      </c>
      <c r="F3" s="17" t="s">
        <v>13</v>
      </c>
      <c r="G3" s="18" t="s">
        <v>16</v>
      </c>
      <c r="H3" s="18" t="s">
        <v>17</v>
      </c>
      <c r="I3" s="18">
        <f>IF(OR(LEFT(F3,5)&lt;&gt;"grupo",IFERROR(VLOOKUP(G3,chave!$B$2:$C$49,2,FALSE),"x")="x",IFERROR(VLOOKUP(H3,chave!$B$2:$C$49,2,FALSE),"x")="x"),1,0)</f>
        <v>0</v>
      </c>
      <c r="J3" s="11" t="str">
        <f t="shared" si="3"/>
        <v>11/06 23:00 - grupo A - Coreia do Sul x Rep. Tcheca</v>
      </c>
      <c r="K3" s="12">
        <v>1.0</v>
      </c>
      <c r="L3" s="12">
        <v>2.0</v>
      </c>
      <c r="M3" s="12">
        <v>1.0</v>
      </c>
    </row>
    <row r="4">
      <c r="A4" s="5">
        <v>3.0</v>
      </c>
      <c r="B4" s="6" t="str">
        <f t="shared" si="1"/>
        <v>Fri</v>
      </c>
      <c r="C4" s="7">
        <f t="shared" si="2"/>
        <v>46185</v>
      </c>
      <c r="D4" s="19">
        <v>46185.0</v>
      </c>
      <c r="E4" s="9">
        <v>0.6666666666666666</v>
      </c>
      <c r="F4" s="10" t="s">
        <v>18</v>
      </c>
      <c r="G4" s="6" t="s">
        <v>19</v>
      </c>
      <c r="H4" s="6" t="s">
        <v>20</v>
      </c>
      <c r="I4" s="6">
        <f>IF(OR(LEFT(F4,5)&lt;&gt;"grupo",IFERROR(VLOOKUP(G4,chave!$B$2:$C$49,2,FALSE),"x")="x",IFERROR(VLOOKUP(H4,chave!$B$2:$C$49,2,FALSE),"x")="x"),1,0)</f>
        <v>1</v>
      </c>
      <c r="J4" s="11" t="str">
        <f t="shared" si="3"/>
        <v>12/06 16:00 - grupo B - Canadá x Bósnia e H</v>
      </c>
      <c r="K4" s="12">
        <v>1.0</v>
      </c>
      <c r="L4" s="12">
        <v>2.0</v>
      </c>
      <c r="M4" s="12">
        <v>1.0</v>
      </c>
    </row>
    <row r="5">
      <c r="A5" s="13">
        <v>4.0</v>
      </c>
      <c r="B5" s="6" t="str">
        <f t="shared" si="1"/>
        <v>Fri</v>
      </c>
      <c r="C5" s="14">
        <f t="shared" si="2"/>
        <v>46185</v>
      </c>
      <c r="D5" s="14">
        <v>46185.0</v>
      </c>
      <c r="E5" s="20">
        <v>0.9166666666666666</v>
      </c>
      <c r="F5" s="18" t="s">
        <v>21</v>
      </c>
      <c r="G5" s="18" t="s">
        <v>22</v>
      </c>
      <c r="H5" s="18" t="s">
        <v>23</v>
      </c>
      <c r="I5" s="18">
        <f>IF(OR(LEFT(F5,5)&lt;&gt;"grupo",IFERROR(VLOOKUP(G5,chave!$B$2:$C$49,2,FALSE),"x")="x",IFERROR(VLOOKUP(H5,chave!$B$2:$C$49,2,FALSE),"x")="x"),1,0)</f>
        <v>1</v>
      </c>
      <c r="J5" s="11" t="str">
        <f t="shared" si="3"/>
        <v>12/06 22:00 - grupo D - Estados Unidos x Paraguai</v>
      </c>
      <c r="K5" s="12">
        <v>0.0</v>
      </c>
      <c r="M5" s="12">
        <v>1.0</v>
      </c>
    </row>
    <row r="6">
      <c r="A6" s="5">
        <v>5.0</v>
      </c>
      <c r="B6" s="6" t="str">
        <f t="shared" si="1"/>
        <v>Sat</v>
      </c>
      <c r="C6" s="7">
        <f t="shared" si="2"/>
        <v>46186</v>
      </c>
      <c r="D6" s="7">
        <v>46186.0</v>
      </c>
      <c r="E6" s="21">
        <v>0.6666666666666666</v>
      </c>
      <c r="F6" s="6" t="s">
        <v>18</v>
      </c>
      <c r="G6" s="6" t="s">
        <v>24</v>
      </c>
      <c r="H6" s="6" t="s">
        <v>25</v>
      </c>
      <c r="I6" s="6">
        <f>IF(OR(LEFT(F6,5)&lt;&gt;"grupo",IFERROR(VLOOKUP(G6,chave!$B$2:$C$49,2,FALSE),"x")="x",IFERROR(VLOOKUP(H6,chave!$B$2:$C$49,2,FALSE),"x")="x"),1,0)</f>
        <v>0</v>
      </c>
      <c r="J6" s="11" t="str">
        <f t="shared" si="3"/>
        <v>13/06 16:00 - grupo B - Catar x Suíça</v>
      </c>
      <c r="K6" s="12">
        <v>0.0</v>
      </c>
      <c r="M6" s="12">
        <v>1.0</v>
      </c>
    </row>
    <row r="7">
      <c r="A7" s="13">
        <v>6.0</v>
      </c>
      <c r="B7" s="6" t="str">
        <f t="shared" si="1"/>
        <v>Sat</v>
      </c>
      <c r="C7" s="14">
        <f t="shared" si="2"/>
        <v>46186</v>
      </c>
      <c r="D7" s="14">
        <v>46186.0</v>
      </c>
      <c r="E7" s="20">
        <v>0.7916666666666666</v>
      </c>
      <c r="F7" s="18" t="s">
        <v>26</v>
      </c>
      <c r="G7" s="18" t="s">
        <v>27</v>
      </c>
      <c r="H7" s="18" t="s">
        <v>28</v>
      </c>
      <c r="I7" s="18">
        <f>IF(OR(LEFT(F7,5)&lt;&gt;"grupo",IFERROR(VLOOKUP(G7,chave!$B$2:$C$49,2,FALSE),"x")="x",IFERROR(VLOOKUP(H7,chave!$B$2:$C$49,2,FALSE),"x")="x"),1,0)</f>
        <v>1</v>
      </c>
      <c r="J7" s="11" t="str">
        <f t="shared" si="3"/>
        <v>13/06 19:00 - grupo C - Brasil x Marrocos</v>
      </c>
      <c r="K7" s="12">
        <v>0.0</v>
      </c>
      <c r="M7" s="12">
        <v>1.0</v>
      </c>
    </row>
    <row r="8">
      <c r="A8" s="5">
        <v>7.0</v>
      </c>
      <c r="B8" s="6" t="str">
        <f t="shared" si="1"/>
        <v>Sat</v>
      </c>
      <c r="C8" s="7">
        <f t="shared" si="2"/>
        <v>46186</v>
      </c>
      <c r="D8" s="7">
        <v>46186.0</v>
      </c>
      <c r="E8" s="21">
        <v>0.9166666666666666</v>
      </c>
      <c r="F8" s="6" t="s">
        <v>26</v>
      </c>
      <c r="G8" s="6" t="s">
        <v>29</v>
      </c>
      <c r="H8" s="6" t="s">
        <v>30</v>
      </c>
      <c r="I8" s="6">
        <f>IF(OR(LEFT(F8,5)&lt;&gt;"grupo",IFERROR(VLOOKUP(G8,chave!$B$2:$C$49,2,FALSE),"x")="x",IFERROR(VLOOKUP(H8,chave!$B$2:$C$49,2,FALSE),"x")="x"),1,0)</f>
        <v>0</v>
      </c>
      <c r="J8" s="11" t="str">
        <f t="shared" si="3"/>
        <v>13/06 22:00 - grupo C - Haiti x Escócia</v>
      </c>
      <c r="K8" s="12">
        <v>0.0</v>
      </c>
      <c r="M8" s="12">
        <v>1.0</v>
      </c>
    </row>
    <row r="9">
      <c r="A9" s="13">
        <v>8.0</v>
      </c>
      <c r="B9" s="6" t="str">
        <f t="shared" si="1"/>
        <v>Sun</v>
      </c>
      <c r="C9" s="14">
        <f t="shared" si="2"/>
        <v>46186</v>
      </c>
      <c r="D9" s="14">
        <v>46187.0</v>
      </c>
      <c r="E9" s="20">
        <v>0.04166666666666666</v>
      </c>
      <c r="F9" s="18" t="s">
        <v>21</v>
      </c>
      <c r="G9" s="18" t="s">
        <v>31</v>
      </c>
      <c r="H9" s="18" t="s">
        <v>32</v>
      </c>
      <c r="I9" s="18">
        <f>IF(OR(LEFT(F9,5)&lt;&gt;"grupo",IFERROR(VLOOKUP(G9,chave!$B$2:$C$49,2,FALSE),"x")="x",IFERROR(VLOOKUP(H9,chave!$B$2:$C$49,2,FALSE),"x")="x"),1,0)</f>
        <v>0</v>
      </c>
      <c r="J9" s="11" t="str">
        <f t="shared" si="3"/>
        <v>14/06 01:00 - grupo D - Austrália x Turquia</v>
      </c>
      <c r="K9" s="12">
        <v>0.0</v>
      </c>
      <c r="M9" s="12">
        <v>1.0</v>
      </c>
    </row>
    <row r="10">
      <c r="A10" s="5">
        <v>9.0</v>
      </c>
      <c r="B10" s="6" t="str">
        <f t="shared" si="1"/>
        <v>Sun</v>
      </c>
      <c r="C10" s="7">
        <f t="shared" si="2"/>
        <v>46187</v>
      </c>
      <c r="D10" s="7">
        <v>46187.0</v>
      </c>
      <c r="E10" s="21">
        <v>0.5833333333333334</v>
      </c>
      <c r="F10" s="6" t="s">
        <v>33</v>
      </c>
      <c r="G10" s="6" t="s">
        <v>34</v>
      </c>
      <c r="H10" s="6" t="s">
        <v>35</v>
      </c>
      <c r="I10" s="6">
        <f>IF(OR(LEFT(F10,5)&lt;&gt;"grupo",IFERROR(VLOOKUP(G10,chave!$B$2:$C$49,2,FALSE),"x")="x",IFERROR(VLOOKUP(H10,chave!$B$2:$C$49,2,FALSE),"x")="x"),1,0)</f>
        <v>1</v>
      </c>
      <c r="J10" s="11" t="str">
        <f t="shared" si="3"/>
        <v>14/06 14:00 - grupo E - Alemanha x Curaçau</v>
      </c>
      <c r="K10" s="12">
        <v>0.0</v>
      </c>
      <c r="M10" s="12">
        <v>1.0</v>
      </c>
    </row>
    <row r="11">
      <c r="A11" s="13">
        <v>10.0</v>
      </c>
      <c r="B11" s="6" t="str">
        <f t="shared" si="1"/>
        <v>Sun</v>
      </c>
      <c r="C11" s="14">
        <f t="shared" si="2"/>
        <v>46187</v>
      </c>
      <c r="D11" s="14">
        <v>46187.0</v>
      </c>
      <c r="E11" s="20">
        <v>0.7083333333333334</v>
      </c>
      <c r="F11" s="18" t="s">
        <v>36</v>
      </c>
      <c r="G11" s="18" t="s">
        <v>37</v>
      </c>
      <c r="H11" s="18" t="s">
        <v>38</v>
      </c>
      <c r="I11" s="18">
        <f>IF(OR(LEFT(F11,5)&lt;&gt;"grupo",IFERROR(VLOOKUP(G11,chave!$B$2:$C$49,2,FALSE),"x")="x",IFERROR(VLOOKUP(H11,chave!$B$2:$C$49,2,FALSE),"x")="x"),1,0)</f>
        <v>1</v>
      </c>
      <c r="J11" s="11" t="str">
        <f t="shared" si="3"/>
        <v>14/06 17:00 - grupo F - Holanda x Japão</v>
      </c>
      <c r="K11" s="12">
        <v>0.0</v>
      </c>
      <c r="L11" s="12">
        <v>0.0</v>
      </c>
      <c r="M11" s="12">
        <v>1.0</v>
      </c>
    </row>
    <row r="12">
      <c r="A12" s="5">
        <v>11.0</v>
      </c>
      <c r="B12" s="6" t="str">
        <f t="shared" si="1"/>
        <v>Sun</v>
      </c>
      <c r="C12" s="7">
        <f t="shared" si="2"/>
        <v>46187</v>
      </c>
      <c r="D12" s="7">
        <v>46187.0</v>
      </c>
      <c r="E12" s="21">
        <v>0.8333333333333334</v>
      </c>
      <c r="F12" s="6" t="s">
        <v>33</v>
      </c>
      <c r="G12" s="6" t="s">
        <v>39</v>
      </c>
      <c r="H12" s="6" t="s">
        <v>40</v>
      </c>
      <c r="I12" s="6">
        <f>IF(OR(LEFT(F12,5)&lt;&gt;"grupo",IFERROR(VLOOKUP(G12,chave!$B$2:$C$49,2,FALSE),"x")="x",IFERROR(VLOOKUP(H12,chave!$B$2:$C$49,2,FALSE),"x")="x"),1,0)</f>
        <v>0</v>
      </c>
      <c r="J12" s="11" t="str">
        <f t="shared" si="3"/>
        <v>14/06 20:00 - grupo E - Costa do Marfim x Equador</v>
      </c>
      <c r="M12" s="12">
        <v>1.0</v>
      </c>
    </row>
    <row r="13">
      <c r="A13" s="13">
        <v>12.0</v>
      </c>
      <c r="B13" s="6" t="str">
        <f t="shared" si="1"/>
        <v>Sun</v>
      </c>
      <c r="C13" s="14">
        <f t="shared" si="2"/>
        <v>46187</v>
      </c>
      <c r="D13" s="14">
        <v>46187.0</v>
      </c>
      <c r="E13" s="20">
        <v>0.9583333333333334</v>
      </c>
      <c r="F13" s="18" t="s">
        <v>36</v>
      </c>
      <c r="G13" s="18" t="s">
        <v>41</v>
      </c>
      <c r="H13" s="18" t="s">
        <v>42</v>
      </c>
      <c r="I13" s="18">
        <f>IF(OR(LEFT(F13,5)&lt;&gt;"grupo",IFERROR(VLOOKUP(G13,chave!$B$2:$C$49,2,FALSE),"x")="x",IFERROR(VLOOKUP(H13,chave!$B$2:$C$49,2,FALSE),"x")="x"),1,0)</f>
        <v>0</v>
      </c>
      <c r="J13" s="11" t="str">
        <f t="shared" si="3"/>
        <v>14/06 23:00 - grupo F - Suécia x Tunísia</v>
      </c>
      <c r="M13" s="12">
        <v>1.0</v>
      </c>
    </row>
    <row r="14">
      <c r="A14" s="5">
        <v>13.0</v>
      </c>
      <c r="B14" s="6" t="str">
        <f t="shared" si="1"/>
        <v>Mon</v>
      </c>
      <c r="C14" s="7">
        <f t="shared" si="2"/>
        <v>46188</v>
      </c>
      <c r="D14" s="7">
        <v>46188.0</v>
      </c>
      <c r="E14" s="21">
        <v>0.5416666666666666</v>
      </c>
      <c r="F14" s="6" t="s">
        <v>43</v>
      </c>
      <c r="G14" s="6" t="s">
        <v>44</v>
      </c>
      <c r="H14" s="6" t="s">
        <v>45</v>
      </c>
      <c r="I14" s="6">
        <f>IF(OR(LEFT(F14,5)&lt;&gt;"grupo",IFERROR(VLOOKUP(G14,chave!$B$2:$C$49,2,FALSE),"x")="x",IFERROR(VLOOKUP(H14,chave!$B$2:$C$49,2,FALSE),"x")="x"),1,0)</f>
        <v>1</v>
      </c>
      <c r="J14" s="11" t="str">
        <f t="shared" si="3"/>
        <v>15/06 13:00 - grupo H - Espanha x Cabo Verde</v>
      </c>
      <c r="M14" s="12">
        <v>1.0</v>
      </c>
    </row>
    <row r="15">
      <c r="A15" s="13">
        <v>14.0</v>
      </c>
      <c r="B15" s="6" t="str">
        <f t="shared" si="1"/>
        <v>Mon</v>
      </c>
      <c r="C15" s="14">
        <f t="shared" si="2"/>
        <v>46188</v>
      </c>
      <c r="D15" s="14">
        <v>46188.0</v>
      </c>
      <c r="E15" s="20">
        <v>0.6666666666666666</v>
      </c>
      <c r="F15" s="18" t="s">
        <v>46</v>
      </c>
      <c r="G15" s="18" t="s">
        <v>47</v>
      </c>
      <c r="H15" s="18" t="s">
        <v>48</v>
      </c>
      <c r="I15" s="18">
        <f>IF(OR(LEFT(F15,5)&lt;&gt;"grupo",IFERROR(VLOOKUP(G15,chave!$B$2:$C$49,2,FALSE),"x")="x",IFERROR(VLOOKUP(H15,chave!$B$2:$C$49,2,FALSE),"x")="x"),1,0)</f>
        <v>1</v>
      </c>
      <c r="J15" s="11" t="str">
        <f t="shared" si="3"/>
        <v>15/06 16:00 - grupo G - Bélgica x Egito</v>
      </c>
      <c r="M15" s="12">
        <v>1.0</v>
      </c>
    </row>
    <row r="16">
      <c r="A16" s="5">
        <v>15.0</v>
      </c>
      <c r="B16" s="6" t="str">
        <f t="shared" si="1"/>
        <v>Mon</v>
      </c>
      <c r="C16" s="7">
        <f t="shared" si="2"/>
        <v>46188</v>
      </c>
      <c r="D16" s="7">
        <v>46188.0</v>
      </c>
      <c r="E16" s="21">
        <v>0.7916666666666666</v>
      </c>
      <c r="F16" s="6" t="s">
        <v>43</v>
      </c>
      <c r="G16" s="6" t="s">
        <v>49</v>
      </c>
      <c r="H16" s="6" t="s">
        <v>50</v>
      </c>
      <c r="I16" s="6">
        <f>IF(OR(LEFT(F16,5)&lt;&gt;"grupo",IFERROR(VLOOKUP(G16,chave!$B$2:$C$49,2,FALSE),"x")="x",IFERROR(VLOOKUP(H16,chave!$B$2:$C$49,2,FALSE),"x")="x"),1,0)</f>
        <v>0</v>
      </c>
      <c r="J16" s="11" t="str">
        <f t="shared" si="3"/>
        <v>15/06 19:00 - grupo H - Arábia Saudita x Uruguai</v>
      </c>
      <c r="M16" s="12">
        <v>1.0</v>
      </c>
    </row>
    <row r="17">
      <c r="A17" s="13">
        <v>16.0</v>
      </c>
      <c r="B17" s="6" t="str">
        <f t="shared" si="1"/>
        <v>Mon</v>
      </c>
      <c r="C17" s="14">
        <f t="shared" si="2"/>
        <v>46188</v>
      </c>
      <c r="D17" s="14">
        <v>46188.0</v>
      </c>
      <c r="E17" s="20">
        <v>0.9166666666666666</v>
      </c>
      <c r="F17" s="18" t="s">
        <v>46</v>
      </c>
      <c r="G17" s="18" t="s">
        <v>51</v>
      </c>
      <c r="H17" s="18" t="s">
        <v>52</v>
      </c>
      <c r="I17" s="18">
        <f>IF(OR(LEFT(F17,5)&lt;&gt;"grupo",IFERROR(VLOOKUP(G17,chave!$B$2:$C$49,2,FALSE),"x")="x",IFERROR(VLOOKUP(H17,chave!$B$2:$C$49,2,FALSE),"x")="x"),1,0)</f>
        <v>0</v>
      </c>
      <c r="J17" s="11" t="str">
        <f t="shared" si="3"/>
        <v>15/06 22:00 - grupo G - Irã x Nova Zelândia</v>
      </c>
      <c r="M17" s="12">
        <v>1.0</v>
      </c>
    </row>
    <row r="18">
      <c r="A18" s="5">
        <v>17.0</v>
      </c>
      <c r="B18" s="6" t="str">
        <f t="shared" si="1"/>
        <v>Tue</v>
      </c>
      <c r="C18" s="7">
        <f t="shared" si="2"/>
        <v>46189</v>
      </c>
      <c r="D18" s="7">
        <v>46189.0</v>
      </c>
      <c r="E18" s="21">
        <v>0.6666666666666666</v>
      </c>
      <c r="F18" s="6" t="s">
        <v>53</v>
      </c>
      <c r="G18" s="6" t="s">
        <v>54</v>
      </c>
      <c r="H18" s="6" t="s">
        <v>55</v>
      </c>
      <c r="I18" s="6">
        <f>IF(OR(LEFT(F18,5)&lt;&gt;"grupo",IFERROR(VLOOKUP(G18,chave!$B$2:$C$49,2,FALSE),"x")="x",IFERROR(VLOOKUP(H18,chave!$B$2:$C$49,2,FALSE),"x")="x"),1,0)</f>
        <v>1</v>
      </c>
      <c r="J18" s="11" t="str">
        <f t="shared" si="3"/>
        <v>16/06 16:00 - grupo I - França x Senegal</v>
      </c>
      <c r="M18" s="12">
        <v>1.0</v>
      </c>
    </row>
    <row r="19">
      <c r="A19" s="13">
        <v>18.0</v>
      </c>
      <c r="B19" s="6" t="str">
        <f t="shared" si="1"/>
        <v>Tue</v>
      </c>
      <c r="C19" s="14">
        <f t="shared" si="2"/>
        <v>46189</v>
      </c>
      <c r="D19" s="14">
        <v>46189.0</v>
      </c>
      <c r="E19" s="20">
        <v>0.7916666666666666</v>
      </c>
      <c r="F19" s="18" t="s">
        <v>53</v>
      </c>
      <c r="G19" s="18" t="s">
        <v>56</v>
      </c>
      <c r="H19" s="18" t="s">
        <v>57</v>
      </c>
      <c r="I19" s="18">
        <f>IF(OR(LEFT(F19,5)&lt;&gt;"grupo",IFERROR(VLOOKUP(G19,chave!$B$2:$C$49,2,FALSE),"x")="x",IFERROR(VLOOKUP(H19,chave!$B$2:$C$49,2,FALSE),"x")="x"),1,0)</f>
        <v>0</v>
      </c>
      <c r="J19" s="11" t="str">
        <f t="shared" si="3"/>
        <v>16/06 19:00 - grupo I - Iraque x Noruega</v>
      </c>
      <c r="M19" s="12">
        <v>1.0</v>
      </c>
    </row>
    <row r="20">
      <c r="A20" s="5">
        <v>19.0</v>
      </c>
      <c r="B20" s="6" t="str">
        <f t="shared" si="1"/>
        <v>Tue</v>
      </c>
      <c r="C20" s="7">
        <f t="shared" si="2"/>
        <v>46189</v>
      </c>
      <c r="D20" s="7">
        <v>46189.0</v>
      </c>
      <c r="E20" s="21">
        <v>0.9166666666666666</v>
      </c>
      <c r="F20" s="6" t="s">
        <v>58</v>
      </c>
      <c r="G20" s="6" t="s">
        <v>59</v>
      </c>
      <c r="H20" s="6" t="s">
        <v>60</v>
      </c>
      <c r="I20" s="6">
        <f>IF(OR(LEFT(F20,5)&lt;&gt;"grupo",IFERROR(VLOOKUP(G20,chave!$B$2:$C$49,2,FALSE),"x")="x",IFERROR(VLOOKUP(H20,chave!$B$2:$C$49,2,FALSE),"x")="x"),1,0)</f>
        <v>1</v>
      </c>
      <c r="J20" s="11" t="str">
        <f t="shared" si="3"/>
        <v>16/06 22:00 - grupo J - Argentina x Argélia</v>
      </c>
      <c r="M20" s="12">
        <v>1.0</v>
      </c>
    </row>
    <row r="21" ht="15.75" customHeight="1">
      <c r="A21" s="13">
        <v>20.0</v>
      </c>
      <c r="B21" s="6" t="str">
        <f t="shared" si="1"/>
        <v>Wed</v>
      </c>
      <c r="C21" s="14">
        <f t="shared" si="2"/>
        <v>46189</v>
      </c>
      <c r="D21" s="14">
        <v>46190.0</v>
      </c>
      <c r="E21" s="20">
        <v>0.04166666666666666</v>
      </c>
      <c r="F21" s="18" t="s">
        <v>58</v>
      </c>
      <c r="G21" s="18" t="s">
        <v>61</v>
      </c>
      <c r="H21" s="18" t="s">
        <v>62</v>
      </c>
      <c r="I21" s="18">
        <f>IF(OR(LEFT(F21,5)&lt;&gt;"grupo",IFERROR(VLOOKUP(G21,chave!$B$2:$C$49,2,FALSE),"x")="x",IFERROR(VLOOKUP(H21,chave!$B$2:$C$49,2,FALSE),"x")="x"),1,0)</f>
        <v>0</v>
      </c>
      <c r="J21" s="11" t="str">
        <f t="shared" si="3"/>
        <v>17/06 01:00 - grupo J - Áustria x Jordânia</v>
      </c>
      <c r="M21" s="12">
        <v>1.0</v>
      </c>
    </row>
    <row r="22" ht="15.75" customHeight="1">
      <c r="A22" s="5">
        <v>21.0</v>
      </c>
      <c r="B22" s="6" t="str">
        <f t="shared" si="1"/>
        <v>Wed</v>
      </c>
      <c r="C22" s="7">
        <f t="shared" si="2"/>
        <v>46190</v>
      </c>
      <c r="D22" s="7">
        <v>46190.0</v>
      </c>
      <c r="E22" s="21">
        <v>0.5833333333333334</v>
      </c>
      <c r="F22" s="6" t="s">
        <v>63</v>
      </c>
      <c r="G22" s="6" t="s">
        <v>64</v>
      </c>
      <c r="H22" s="6" t="s">
        <v>65</v>
      </c>
      <c r="I22" s="6">
        <f>IF(OR(LEFT(F22,5)&lt;&gt;"grupo",IFERROR(VLOOKUP(G22,chave!$B$2:$C$49,2,FALSE),"x")="x",IFERROR(VLOOKUP(H22,chave!$B$2:$C$49,2,FALSE),"x")="x"),1,0)</f>
        <v>1</v>
      </c>
      <c r="J22" s="11" t="str">
        <f t="shared" si="3"/>
        <v>17/06 14:00 - grupo K - Portugal x Congo</v>
      </c>
      <c r="M22" s="12">
        <v>1.0</v>
      </c>
    </row>
    <row r="23" ht="15.75" customHeight="1">
      <c r="A23" s="13">
        <v>22.0</v>
      </c>
      <c r="B23" s="6" t="str">
        <f t="shared" si="1"/>
        <v>Wed</v>
      </c>
      <c r="C23" s="14">
        <f t="shared" si="2"/>
        <v>46190</v>
      </c>
      <c r="D23" s="14">
        <v>46190.0</v>
      </c>
      <c r="E23" s="20">
        <v>0.7083333333333334</v>
      </c>
      <c r="F23" s="18" t="s">
        <v>66</v>
      </c>
      <c r="G23" s="18" t="s">
        <v>67</v>
      </c>
      <c r="H23" s="18" t="s">
        <v>68</v>
      </c>
      <c r="I23" s="18">
        <f>IF(OR(LEFT(F23,5)&lt;&gt;"grupo",IFERROR(VLOOKUP(G23,chave!$B$2:$C$49,2,FALSE),"x")="x",IFERROR(VLOOKUP(H23,chave!$B$2:$C$49,2,FALSE),"x")="x"),1,0)</f>
        <v>1</v>
      </c>
      <c r="J23" s="11" t="str">
        <f t="shared" si="3"/>
        <v>17/06 17:00 - grupo L - Inglaterra x Croácia</v>
      </c>
      <c r="M23" s="12">
        <v>1.0</v>
      </c>
    </row>
    <row r="24" ht="15.75" customHeight="1">
      <c r="A24" s="5">
        <v>23.0</v>
      </c>
      <c r="B24" s="6" t="str">
        <f t="shared" si="1"/>
        <v>Wed</v>
      </c>
      <c r="C24" s="7">
        <f t="shared" si="2"/>
        <v>46190</v>
      </c>
      <c r="D24" s="7">
        <v>46190.0</v>
      </c>
      <c r="E24" s="21">
        <v>0.8333333333333334</v>
      </c>
      <c r="F24" s="6" t="s">
        <v>66</v>
      </c>
      <c r="G24" s="6" t="s">
        <v>69</v>
      </c>
      <c r="H24" s="6" t="s">
        <v>70</v>
      </c>
      <c r="I24" s="6">
        <f>IF(OR(LEFT(F24,5)&lt;&gt;"grupo",IFERROR(VLOOKUP(G24,chave!$B$2:$C$49,2,FALSE),"x")="x",IFERROR(VLOOKUP(H24,chave!$B$2:$C$49,2,FALSE),"x")="x"),1,0)</f>
        <v>0</v>
      </c>
      <c r="J24" s="11" t="str">
        <f t="shared" si="3"/>
        <v>17/06 20:00 - grupo L - Gana x Panamá</v>
      </c>
      <c r="M24" s="12">
        <v>1.0</v>
      </c>
    </row>
    <row r="25" ht="15.75" customHeight="1">
      <c r="A25" s="13">
        <v>24.0</v>
      </c>
      <c r="B25" s="6" t="str">
        <f t="shared" si="1"/>
        <v>Wed</v>
      </c>
      <c r="C25" s="14">
        <f t="shared" si="2"/>
        <v>46190</v>
      </c>
      <c r="D25" s="14">
        <v>46190.0</v>
      </c>
      <c r="E25" s="20">
        <v>0.9583333333333334</v>
      </c>
      <c r="F25" s="18" t="s">
        <v>63</v>
      </c>
      <c r="G25" s="18" t="s">
        <v>71</v>
      </c>
      <c r="H25" s="18" t="s">
        <v>72</v>
      </c>
      <c r="I25" s="18">
        <f>IF(OR(LEFT(F25,5)&lt;&gt;"grupo",IFERROR(VLOOKUP(G25,chave!$B$2:$C$49,2,FALSE),"x")="x",IFERROR(VLOOKUP(H25,chave!$B$2:$C$49,2,FALSE),"x")="x"),1,0)</f>
        <v>0</v>
      </c>
      <c r="J25" s="11" t="str">
        <f t="shared" si="3"/>
        <v>17/06 23:00 - grupo K - Uzbequistão x Colômbia</v>
      </c>
      <c r="M25" s="12">
        <v>1.0</v>
      </c>
    </row>
    <row r="26" ht="15.75" customHeight="1">
      <c r="A26" s="5">
        <v>25.0</v>
      </c>
      <c r="B26" s="6" t="str">
        <f t="shared" si="1"/>
        <v>Thu</v>
      </c>
      <c r="C26" s="7">
        <f t="shared" si="2"/>
        <v>46191</v>
      </c>
      <c r="D26" s="7">
        <v>46191.0</v>
      </c>
      <c r="E26" s="21">
        <v>0.5416666666666666</v>
      </c>
      <c r="F26" s="6" t="s">
        <v>13</v>
      </c>
      <c r="G26" s="6" t="s">
        <v>17</v>
      </c>
      <c r="H26" s="6" t="s">
        <v>15</v>
      </c>
      <c r="I26" s="6">
        <f>IF(OR(LEFT(F26,5)&lt;&gt;"grupo",IFERROR(VLOOKUP(G26,chave!$B$2:$C$49,2,FALSE),"x")="x",IFERROR(VLOOKUP(H26,chave!$B$2:$C$49,2,FALSE),"x")="x"),1,0)</f>
        <v>0</v>
      </c>
      <c r="J26" s="11" t="str">
        <f t="shared" si="3"/>
        <v>18/06 13:00 - grupo A - Rep. Tcheca x África do Sul</v>
      </c>
      <c r="M26" s="12">
        <v>1.0</v>
      </c>
    </row>
    <row r="27" ht="15.75" customHeight="1">
      <c r="A27" s="13">
        <v>26.0</v>
      </c>
      <c r="B27" s="6" t="str">
        <f t="shared" si="1"/>
        <v>Thu</v>
      </c>
      <c r="C27" s="14">
        <f t="shared" si="2"/>
        <v>46191</v>
      </c>
      <c r="D27" s="14">
        <v>46191.0</v>
      </c>
      <c r="E27" s="20">
        <v>0.6666666666666666</v>
      </c>
      <c r="F27" s="18" t="s">
        <v>18</v>
      </c>
      <c r="G27" s="18" t="s">
        <v>25</v>
      </c>
      <c r="H27" s="18" t="s">
        <v>20</v>
      </c>
      <c r="I27" s="18">
        <f>IF(OR(LEFT(F27,5)&lt;&gt;"grupo",IFERROR(VLOOKUP(G27,chave!$B$2:$C$49,2,FALSE),"x")="x",IFERROR(VLOOKUP(H27,chave!$B$2:$C$49,2,FALSE),"x")="x"),1,0)</f>
        <v>0</v>
      </c>
      <c r="J27" s="11" t="str">
        <f t="shared" si="3"/>
        <v>18/06 16:00 - grupo B - Suíça x Bósnia e H</v>
      </c>
      <c r="M27" s="12">
        <v>1.0</v>
      </c>
    </row>
    <row r="28" ht="15.75" customHeight="1">
      <c r="A28" s="5">
        <v>27.0</v>
      </c>
      <c r="B28" s="6" t="str">
        <f t="shared" si="1"/>
        <v>Thu</v>
      </c>
      <c r="C28" s="7">
        <f t="shared" si="2"/>
        <v>46191</v>
      </c>
      <c r="D28" s="7">
        <v>46191.0</v>
      </c>
      <c r="E28" s="21">
        <v>0.7916666666666666</v>
      </c>
      <c r="F28" s="6" t="s">
        <v>18</v>
      </c>
      <c r="G28" s="6" t="s">
        <v>19</v>
      </c>
      <c r="H28" s="6" t="s">
        <v>24</v>
      </c>
      <c r="I28" s="6">
        <f>IF(OR(LEFT(F28,5)&lt;&gt;"grupo",IFERROR(VLOOKUP(G28,chave!$B$2:$C$49,2,FALSE),"x")="x",IFERROR(VLOOKUP(H28,chave!$B$2:$C$49,2,FALSE),"x")="x"),1,0)</f>
        <v>1</v>
      </c>
      <c r="J28" s="11" t="str">
        <f t="shared" si="3"/>
        <v>18/06 19:00 - grupo B - Canadá x Catar</v>
      </c>
      <c r="M28" s="12">
        <v>1.0</v>
      </c>
    </row>
    <row r="29" ht="15.75" customHeight="1">
      <c r="A29" s="13">
        <v>28.0</v>
      </c>
      <c r="B29" s="6" t="str">
        <f t="shared" si="1"/>
        <v>Thu</v>
      </c>
      <c r="C29" s="14">
        <f t="shared" si="2"/>
        <v>46191</v>
      </c>
      <c r="D29" s="14">
        <v>46191.0</v>
      </c>
      <c r="E29" s="20">
        <v>0.9166666666666666</v>
      </c>
      <c r="F29" s="18" t="s">
        <v>13</v>
      </c>
      <c r="G29" s="18" t="s">
        <v>14</v>
      </c>
      <c r="H29" s="18" t="s">
        <v>16</v>
      </c>
      <c r="I29" s="18">
        <f>IF(OR(LEFT(F29,5)&lt;&gt;"grupo",IFERROR(VLOOKUP(G29,chave!$B$2:$C$49,2,FALSE),"x")="x",IFERROR(VLOOKUP(H29,chave!$B$2:$C$49,2,FALSE),"x")="x"),1,0)</f>
        <v>1</v>
      </c>
      <c r="J29" s="11" t="str">
        <f t="shared" si="3"/>
        <v>18/06 22:00 - grupo A - México x Coreia do Sul</v>
      </c>
      <c r="M29" s="12">
        <v>1.0</v>
      </c>
    </row>
    <row r="30" ht="15.75" customHeight="1">
      <c r="A30" s="5">
        <v>29.0</v>
      </c>
      <c r="B30" s="6" t="str">
        <f t="shared" si="1"/>
        <v>Fri</v>
      </c>
      <c r="C30" s="7">
        <f t="shared" si="2"/>
        <v>46191</v>
      </c>
      <c r="D30" s="7">
        <v>46192.0</v>
      </c>
      <c r="E30" s="21">
        <v>0.0</v>
      </c>
      <c r="F30" s="6" t="s">
        <v>21</v>
      </c>
      <c r="G30" s="6" t="s">
        <v>32</v>
      </c>
      <c r="H30" s="6" t="s">
        <v>23</v>
      </c>
      <c r="I30" s="6">
        <f>IF(OR(LEFT(F30,5)&lt;&gt;"grupo",IFERROR(VLOOKUP(G30,chave!$B$2:$C$49,2,FALSE),"x")="x",IFERROR(VLOOKUP(H30,chave!$B$2:$C$49,2,FALSE),"x")="x"),1,0)</f>
        <v>0</v>
      </c>
      <c r="J30" s="11" t="str">
        <f t="shared" si="3"/>
        <v>19/06 00:00 - grupo D - Turquia x Paraguai</v>
      </c>
      <c r="M30" s="12">
        <v>1.0</v>
      </c>
    </row>
    <row r="31" ht="15.75" customHeight="1">
      <c r="A31" s="13">
        <v>30.0</v>
      </c>
      <c r="B31" s="6" t="str">
        <f t="shared" si="1"/>
        <v>Fri</v>
      </c>
      <c r="C31" s="14">
        <f t="shared" si="2"/>
        <v>46192</v>
      </c>
      <c r="D31" s="14">
        <v>46192.0</v>
      </c>
      <c r="E31" s="20">
        <v>0.6666666666666666</v>
      </c>
      <c r="F31" s="18" t="s">
        <v>21</v>
      </c>
      <c r="G31" s="18" t="s">
        <v>22</v>
      </c>
      <c r="H31" s="18" t="s">
        <v>31</v>
      </c>
      <c r="I31" s="18">
        <f>IF(OR(LEFT(F31,5)&lt;&gt;"grupo",IFERROR(VLOOKUP(G31,chave!$B$2:$C$49,2,FALSE),"x")="x",IFERROR(VLOOKUP(H31,chave!$B$2:$C$49,2,FALSE),"x")="x"),1,0)</f>
        <v>1</v>
      </c>
      <c r="J31" s="11" t="str">
        <f t="shared" si="3"/>
        <v>19/06 16:00 - grupo D - Estados Unidos x Austrália</v>
      </c>
      <c r="M31" s="12">
        <v>1.0</v>
      </c>
    </row>
    <row r="32" ht="15.75" customHeight="1">
      <c r="A32" s="5">
        <v>31.0</v>
      </c>
      <c r="B32" s="6" t="str">
        <f t="shared" si="1"/>
        <v>Fri</v>
      </c>
      <c r="C32" s="7">
        <f t="shared" si="2"/>
        <v>46192</v>
      </c>
      <c r="D32" s="7">
        <v>46192.0</v>
      </c>
      <c r="E32" s="21">
        <v>0.7916666666666666</v>
      </c>
      <c r="F32" s="6" t="s">
        <v>26</v>
      </c>
      <c r="G32" s="6" t="s">
        <v>30</v>
      </c>
      <c r="H32" s="6" t="s">
        <v>28</v>
      </c>
      <c r="I32" s="6">
        <f>IF(OR(LEFT(F32,5)&lt;&gt;"grupo",IFERROR(VLOOKUP(G32,chave!$B$2:$C$49,2,FALSE),"x")="x",IFERROR(VLOOKUP(H32,chave!$B$2:$C$49,2,FALSE),"x")="x"),1,0)</f>
        <v>0</v>
      </c>
      <c r="J32" s="11" t="str">
        <f t="shared" si="3"/>
        <v>19/06 19:00 - grupo C - Escócia x Marrocos</v>
      </c>
      <c r="M32" s="12">
        <v>1.0</v>
      </c>
    </row>
    <row r="33" ht="15.75" customHeight="1">
      <c r="A33" s="13">
        <v>32.0</v>
      </c>
      <c r="B33" s="6" t="str">
        <f t="shared" si="1"/>
        <v>Fri</v>
      </c>
      <c r="C33" s="14">
        <f t="shared" si="2"/>
        <v>46192</v>
      </c>
      <c r="D33" s="14">
        <v>46192.0</v>
      </c>
      <c r="E33" s="20">
        <v>0.8958333333333334</v>
      </c>
      <c r="F33" s="18" t="s">
        <v>26</v>
      </c>
      <c r="G33" s="18" t="s">
        <v>27</v>
      </c>
      <c r="H33" s="18" t="s">
        <v>29</v>
      </c>
      <c r="I33" s="18">
        <f>IF(OR(LEFT(F33,5)&lt;&gt;"grupo",IFERROR(VLOOKUP(G33,chave!$B$2:$C$49,2,FALSE),"x")="x",IFERROR(VLOOKUP(H33,chave!$B$2:$C$49,2,FALSE),"x")="x"),1,0)</f>
        <v>1</v>
      </c>
      <c r="J33" s="11" t="str">
        <f t="shared" si="3"/>
        <v>19/06 21:30 - grupo C - Brasil x Haiti</v>
      </c>
      <c r="M33" s="12">
        <v>1.0</v>
      </c>
    </row>
    <row r="34" ht="15.75" customHeight="1">
      <c r="A34" s="5">
        <v>33.0</v>
      </c>
      <c r="B34" s="6" t="str">
        <f t="shared" si="1"/>
        <v>Sat</v>
      </c>
      <c r="C34" s="7">
        <f t="shared" si="2"/>
        <v>46193</v>
      </c>
      <c r="D34" s="7">
        <v>46193.0</v>
      </c>
      <c r="E34" s="21">
        <v>0.5833333333333334</v>
      </c>
      <c r="F34" s="6" t="s">
        <v>36</v>
      </c>
      <c r="G34" s="6" t="s">
        <v>37</v>
      </c>
      <c r="H34" s="6" t="s">
        <v>41</v>
      </c>
      <c r="I34" s="6">
        <f>IF(OR(LEFT(F34,5)&lt;&gt;"grupo",IFERROR(VLOOKUP(G34,chave!$B$2:$C$49,2,FALSE),"x")="x",IFERROR(VLOOKUP(H34,chave!$B$2:$C$49,2,FALSE),"x")="x"),1,0)</f>
        <v>1</v>
      </c>
      <c r="J34" s="11" t="str">
        <f t="shared" si="3"/>
        <v>20/06 14:00 - grupo F - Holanda x Suécia</v>
      </c>
      <c r="M34" s="12">
        <v>1.0</v>
      </c>
    </row>
    <row r="35" ht="15.75" customHeight="1">
      <c r="A35" s="13">
        <v>34.0</v>
      </c>
      <c r="B35" s="6" t="str">
        <f t="shared" si="1"/>
        <v>Sat</v>
      </c>
      <c r="C35" s="14">
        <f t="shared" si="2"/>
        <v>46193</v>
      </c>
      <c r="D35" s="14">
        <v>46193.0</v>
      </c>
      <c r="E35" s="20">
        <v>0.7083333333333334</v>
      </c>
      <c r="F35" s="18" t="s">
        <v>33</v>
      </c>
      <c r="G35" s="18" t="s">
        <v>34</v>
      </c>
      <c r="H35" s="18" t="s">
        <v>39</v>
      </c>
      <c r="I35" s="18">
        <f>IF(OR(LEFT(F35,5)&lt;&gt;"grupo",IFERROR(VLOOKUP(G35,chave!$B$2:$C$49,2,FALSE),"x")="x",IFERROR(VLOOKUP(H35,chave!$B$2:$C$49,2,FALSE),"x")="x"),1,0)</f>
        <v>1</v>
      </c>
      <c r="J35" s="11" t="str">
        <f t="shared" si="3"/>
        <v>20/06 17:00 - grupo E - Alemanha x Costa do Marfim</v>
      </c>
      <c r="M35" s="12">
        <v>1.0</v>
      </c>
    </row>
    <row r="36" ht="15.75" customHeight="1">
      <c r="A36" s="5">
        <v>35.0</v>
      </c>
      <c r="B36" s="6" t="str">
        <f t="shared" si="1"/>
        <v>Sat</v>
      </c>
      <c r="C36" s="7">
        <f t="shared" si="2"/>
        <v>46193</v>
      </c>
      <c r="D36" s="7">
        <v>46193.0</v>
      </c>
      <c r="E36" s="21">
        <v>0.875</v>
      </c>
      <c r="F36" s="6" t="s">
        <v>33</v>
      </c>
      <c r="G36" s="6" t="s">
        <v>40</v>
      </c>
      <c r="H36" s="6" t="s">
        <v>35</v>
      </c>
      <c r="I36" s="6">
        <f>IF(OR(LEFT(F36,5)&lt;&gt;"grupo",IFERROR(VLOOKUP(G36,chave!$B$2:$C$49,2,FALSE),"x")="x",IFERROR(VLOOKUP(H36,chave!$B$2:$C$49,2,FALSE),"x")="x"),1,0)</f>
        <v>0</v>
      </c>
      <c r="J36" s="11" t="str">
        <f t="shared" si="3"/>
        <v>20/06 21:00 - grupo E - Equador x Curaçau</v>
      </c>
      <c r="M36" s="12">
        <v>1.0</v>
      </c>
    </row>
    <row r="37" ht="15.75" customHeight="1">
      <c r="A37" s="13">
        <v>36.0</v>
      </c>
      <c r="B37" s="6" t="str">
        <f t="shared" si="1"/>
        <v>Sun</v>
      </c>
      <c r="C37" s="14">
        <f t="shared" si="2"/>
        <v>46193</v>
      </c>
      <c r="D37" s="14">
        <v>46194.0</v>
      </c>
      <c r="E37" s="20">
        <v>0.041666666666666664</v>
      </c>
      <c r="F37" s="18" t="s">
        <v>36</v>
      </c>
      <c r="G37" s="18" t="s">
        <v>42</v>
      </c>
      <c r="H37" s="18" t="s">
        <v>38</v>
      </c>
      <c r="I37" s="18">
        <f>IF(OR(LEFT(F37,5)&lt;&gt;"grupo",IFERROR(VLOOKUP(G37,chave!$B$2:$C$49,2,FALSE),"x")="x",IFERROR(VLOOKUP(H37,chave!$B$2:$C$49,2,FALSE),"x")="x"),1,0)</f>
        <v>0</v>
      </c>
      <c r="J37" s="11" t="str">
        <f t="shared" si="3"/>
        <v>21/06 01:00 - grupo F - Tunísia x Japão</v>
      </c>
      <c r="M37" s="12">
        <v>1.0</v>
      </c>
    </row>
    <row r="38" ht="15.75" customHeight="1">
      <c r="A38" s="5">
        <v>37.0</v>
      </c>
      <c r="B38" s="6" t="str">
        <f t="shared" si="1"/>
        <v>Sun</v>
      </c>
      <c r="C38" s="7">
        <f t="shared" si="2"/>
        <v>46194</v>
      </c>
      <c r="D38" s="7">
        <v>46194.0</v>
      </c>
      <c r="E38" s="21">
        <v>0.5416666666666666</v>
      </c>
      <c r="F38" s="6" t="s">
        <v>43</v>
      </c>
      <c r="G38" s="6" t="s">
        <v>44</v>
      </c>
      <c r="H38" s="6" t="s">
        <v>49</v>
      </c>
      <c r="I38" s="6">
        <f>IF(OR(LEFT(F38,5)&lt;&gt;"grupo",IFERROR(VLOOKUP(G38,chave!$B$2:$C$49,2,FALSE),"x")="x",IFERROR(VLOOKUP(H38,chave!$B$2:$C$49,2,FALSE),"x")="x"),1,0)</f>
        <v>1</v>
      </c>
      <c r="J38" s="11" t="str">
        <f t="shared" si="3"/>
        <v>21/06 13:00 - grupo H - Espanha x Arábia Saudita</v>
      </c>
      <c r="M38" s="12">
        <v>1.0</v>
      </c>
    </row>
    <row r="39" ht="15.75" customHeight="1">
      <c r="A39" s="13">
        <v>38.0</v>
      </c>
      <c r="B39" s="6" t="str">
        <f t="shared" si="1"/>
        <v>Sun</v>
      </c>
      <c r="C39" s="14">
        <f t="shared" si="2"/>
        <v>46194</v>
      </c>
      <c r="D39" s="14">
        <v>46194.0</v>
      </c>
      <c r="E39" s="20">
        <v>0.6666666666666666</v>
      </c>
      <c r="F39" s="18" t="s">
        <v>46</v>
      </c>
      <c r="G39" s="18" t="s">
        <v>47</v>
      </c>
      <c r="H39" s="18" t="s">
        <v>51</v>
      </c>
      <c r="I39" s="18">
        <f>IF(OR(LEFT(F39,5)&lt;&gt;"grupo",IFERROR(VLOOKUP(G39,chave!$B$2:$C$49,2,FALSE),"x")="x",IFERROR(VLOOKUP(H39,chave!$B$2:$C$49,2,FALSE),"x")="x"),1,0)</f>
        <v>1</v>
      </c>
      <c r="J39" s="11" t="str">
        <f t="shared" si="3"/>
        <v>21/06 16:00 - grupo G - Bélgica x Irã</v>
      </c>
      <c r="M39" s="12">
        <v>1.0</v>
      </c>
    </row>
    <row r="40" ht="15.75" customHeight="1">
      <c r="A40" s="5">
        <v>39.0</v>
      </c>
      <c r="B40" s="6" t="str">
        <f t="shared" si="1"/>
        <v>Sun</v>
      </c>
      <c r="C40" s="7">
        <f t="shared" si="2"/>
        <v>46194</v>
      </c>
      <c r="D40" s="7">
        <v>46194.0</v>
      </c>
      <c r="E40" s="21">
        <v>0.7916666666666666</v>
      </c>
      <c r="F40" s="6" t="s">
        <v>43</v>
      </c>
      <c r="G40" s="6" t="s">
        <v>50</v>
      </c>
      <c r="H40" s="6" t="s">
        <v>45</v>
      </c>
      <c r="I40" s="6">
        <f>IF(OR(LEFT(F40,5)&lt;&gt;"grupo",IFERROR(VLOOKUP(G40,chave!$B$2:$C$49,2,FALSE),"x")="x",IFERROR(VLOOKUP(H40,chave!$B$2:$C$49,2,FALSE),"x")="x"),1,0)</f>
        <v>0</v>
      </c>
      <c r="J40" s="11" t="str">
        <f t="shared" si="3"/>
        <v>21/06 19:00 - grupo H - Uruguai x Cabo Verde</v>
      </c>
      <c r="M40" s="12">
        <v>1.0</v>
      </c>
    </row>
    <row r="41" ht="15.75" customHeight="1">
      <c r="A41" s="13">
        <v>40.0</v>
      </c>
      <c r="B41" s="6" t="str">
        <f t="shared" si="1"/>
        <v>Sun</v>
      </c>
      <c r="C41" s="14">
        <f t="shared" si="2"/>
        <v>46194</v>
      </c>
      <c r="D41" s="14">
        <v>46194.0</v>
      </c>
      <c r="E41" s="20">
        <v>0.9166666666666666</v>
      </c>
      <c r="F41" s="18" t="s">
        <v>46</v>
      </c>
      <c r="G41" s="18" t="s">
        <v>52</v>
      </c>
      <c r="H41" s="18" t="s">
        <v>48</v>
      </c>
      <c r="I41" s="18">
        <f>IF(OR(LEFT(F41,5)&lt;&gt;"grupo",IFERROR(VLOOKUP(G41,chave!$B$2:$C$49,2,FALSE),"x")="x",IFERROR(VLOOKUP(H41,chave!$B$2:$C$49,2,FALSE),"x")="x"),1,0)</f>
        <v>0</v>
      </c>
      <c r="J41" s="11" t="str">
        <f t="shared" si="3"/>
        <v>21/06 22:00 - grupo G - Nova Zelândia x Egito</v>
      </c>
      <c r="M41" s="12">
        <v>1.0</v>
      </c>
    </row>
    <row r="42" ht="15.75" customHeight="1">
      <c r="A42" s="5">
        <v>41.0</v>
      </c>
      <c r="B42" s="6" t="str">
        <f t="shared" si="1"/>
        <v>Mon</v>
      </c>
      <c r="C42" s="7">
        <f t="shared" si="2"/>
        <v>46195</v>
      </c>
      <c r="D42" s="7">
        <v>46195.0</v>
      </c>
      <c r="E42" s="21">
        <v>0.5833333333333334</v>
      </c>
      <c r="F42" s="6" t="s">
        <v>58</v>
      </c>
      <c r="G42" s="6" t="s">
        <v>59</v>
      </c>
      <c r="H42" s="6" t="s">
        <v>61</v>
      </c>
      <c r="I42" s="6">
        <f>IF(OR(LEFT(F42,5)&lt;&gt;"grupo",IFERROR(VLOOKUP(G42,chave!$B$2:$C$49,2,FALSE),"x")="x",IFERROR(VLOOKUP(H42,chave!$B$2:$C$49,2,FALSE),"x")="x"),1,0)</f>
        <v>1</v>
      </c>
      <c r="J42" s="11" t="str">
        <f t="shared" si="3"/>
        <v>22/06 14:00 - grupo J - Argentina x Áustria</v>
      </c>
      <c r="M42" s="12">
        <v>1.0</v>
      </c>
    </row>
    <row r="43" ht="15.75" customHeight="1">
      <c r="A43" s="13">
        <v>42.0</v>
      </c>
      <c r="B43" s="6" t="str">
        <f t="shared" si="1"/>
        <v>Mon</v>
      </c>
      <c r="C43" s="14">
        <f t="shared" si="2"/>
        <v>46195</v>
      </c>
      <c r="D43" s="14">
        <v>46195.0</v>
      </c>
      <c r="E43" s="20">
        <v>0.75</v>
      </c>
      <c r="F43" s="18" t="s">
        <v>53</v>
      </c>
      <c r="G43" s="18" t="s">
        <v>54</v>
      </c>
      <c r="H43" s="18" t="s">
        <v>56</v>
      </c>
      <c r="I43" s="18">
        <f>IF(OR(LEFT(F43,5)&lt;&gt;"grupo",IFERROR(VLOOKUP(G43,chave!$B$2:$C$49,2,FALSE),"x")="x",IFERROR(VLOOKUP(H43,chave!$B$2:$C$49,2,FALSE),"x")="x"),1,0)</f>
        <v>1</v>
      </c>
      <c r="J43" s="11" t="str">
        <f t="shared" si="3"/>
        <v>22/06 18:00 - grupo I - França x Iraque</v>
      </c>
      <c r="M43" s="12">
        <v>1.0</v>
      </c>
    </row>
    <row r="44" ht="15.75" customHeight="1">
      <c r="A44" s="5">
        <v>43.0</v>
      </c>
      <c r="B44" s="6" t="str">
        <f t="shared" si="1"/>
        <v>Mon</v>
      </c>
      <c r="C44" s="7">
        <f t="shared" si="2"/>
        <v>46195</v>
      </c>
      <c r="D44" s="7">
        <v>46195.0</v>
      </c>
      <c r="E44" s="21">
        <v>0.875</v>
      </c>
      <c r="F44" s="6" t="s">
        <v>53</v>
      </c>
      <c r="G44" s="6" t="s">
        <v>57</v>
      </c>
      <c r="H44" s="6" t="s">
        <v>55</v>
      </c>
      <c r="I44" s="6">
        <f>IF(OR(LEFT(F44,5)&lt;&gt;"grupo",IFERROR(VLOOKUP(G44,chave!$B$2:$C$49,2,FALSE),"x")="x",IFERROR(VLOOKUP(H44,chave!$B$2:$C$49,2,FALSE),"x")="x"),1,0)</f>
        <v>0</v>
      </c>
      <c r="J44" s="11" t="str">
        <f t="shared" si="3"/>
        <v>22/06 21:00 - grupo I - Noruega x Senegal</v>
      </c>
      <c r="M44" s="12">
        <v>1.0</v>
      </c>
    </row>
    <row r="45" ht="15.75" customHeight="1">
      <c r="A45" s="13">
        <v>44.0</v>
      </c>
      <c r="B45" s="6" t="str">
        <f t="shared" si="1"/>
        <v>Tue</v>
      </c>
      <c r="C45" s="14">
        <f t="shared" si="2"/>
        <v>46195</v>
      </c>
      <c r="D45" s="14">
        <v>46196.0</v>
      </c>
      <c r="E45" s="20">
        <v>0.0</v>
      </c>
      <c r="F45" s="18" t="s">
        <v>58</v>
      </c>
      <c r="G45" s="18" t="s">
        <v>62</v>
      </c>
      <c r="H45" s="18" t="s">
        <v>60</v>
      </c>
      <c r="I45" s="18">
        <f>IF(OR(LEFT(F45,5)&lt;&gt;"grupo",IFERROR(VLOOKUP(G45,chave!$B$2:$C$49,2,FALSE),"x")="x",IFERROR(VLOOKUP(H45,chave!$B$2:$C$49,2,FALSE),"x")="x"),1,0)</f>
        <v>0</v>
      </c>
      <c r="J45" s="11" t="str">
        <f t="shared" si="3"/>
        <v>23/06 00:00 - grupo J - Jordânia x Argélia</v>
      </c>
      <c r="M45" s="12">
        <v>1.0</v>
      </c>
    </row>
    <row r="46" ht="15.75" customHeight="1">
      <c r="A46" s="5">
        <v>45.0</v>
      </c>
      <c r="B46" s="6" t="str">
        <f t="shared" si="1"/>
        <v>Tue</v>
      </c>
      <c r="C46" s="7">
        <f t="shared" si="2"/>
        <v>46196</v>
      </c>
      <c r="D46" s="7">
        <v>46196.0</v>
      </c>
      <c r="E46" s="21">
        <v>0.5833333333333334</v>
      </c>
      <c r="F46" s="6" t="s">
        <v>63</v>
      </c>
      <c r="G46" s="6" t="s">
        <v>64</v>
      </c>
      <c r="H46" s="6" t="s">
        <v>71</v>
      </c>
      <c r="I46" s="6">
        <f>IF(OR(LEFT(F46,5)&lt;&gt;"grupo",IFERROR(VLOOKUP(G46,chave!$B$2:$C$49,2,FALSE),"x")="x",IFERROR(VLOOKUP(H46,chave!$B$2:$C$49,2,FALSE),"x")="x"),1,0)</f>
        <v>1</v>
      </c>
      <c r="J46" s="11" t="str">
        <f t="shared" si="3"/>
        <v>23/06 14:00 - grupo K - Portugal x Uzbequistão</v>
      </c>
      <c r="M46" s="12">
        <v>1.0</v>
      </c>
    </row>
    <row r="47" ht="15.75" customHeight="1">
      <c r="A47" s="13">
        <v>46.0</v>
      </c>
      <c r="B47" s="6" t="str">
        <f t="shared" si="1"/>
        <v>Tue</v>
      </c>
      <c r="C47" s="14">
        <f t="shared" si="2"/>
        <v>46196</v>
      </c>
      <c r="D47" s="14">
        <v>46196.0</v>
      </c>
      <c r="E47" s="20">
        <v>0.7083333333333334</v>
      </c>
      <c r="F47" s="18" t="s">
        <v>66</v>
      </c>
      <c r="G47" s="18" t="s">
        <v>67</v>
      </c>
      <c r="H47" s="18" t="s">
        <v>69</v>
      </c>
      <c r="I47" s="18">
        <f>IF(OR(LEFT(F47,5)&lt;&gt;"grupo",IFERROR(VLOOKUP(G47,chave!$B$2:$C$49,2,FALSE),"x")="x",IFERROR(VLOOKUP(H47,chave!$B$2:$C$49,2,FALSE),"x")="x"),1,0)</f>
        <v>1</v>
      </c>
      <c r="J47" s="11" t="str">
        <f t="shared" si="3"/>
        <v>23/06 17:00 - grupo L - Inglaterra x Gana</v>
      </c>
      <c r="M47" s="12">
        <v>1.0</v>
      </c>
    </row>
    <row r="48" ht="15.75" customHeight="1">
      <c r="A48" s="5">
        <v>47.0</v>
      </c>
      <c r="B48" s="6" t="str">
        <f t="shared" si="1"/>
        <v>Tue</v>
      </c>
      <c r="C48" s="7">
        <f t="shared" si="2"/>
        <v>46196</v>
      </c>
      <c r="D48" s="7">
        <v>46196.0</v>
      </c>
      <c r="E48" s="21">
        <v>0.8333333333333334</v>
      </c>
      <c r="F48" s="6" t="s">
        <v>66</v>
      </c>
      <c r="G48" s="6" t="s">
        <v>70</v>
      </c>
      <c r="H48" s="6" t="s">
        <v>68</v>
      </c>
      <c r="I48" s="6">
        <f>IF(OR(LEFT(F48,5)&lt;&gt;"grupo",IFERROR(VLOOKUP(G48,chave!$B$2:$C$49,2,FALSE),"x")="x",IFERROR(VLOOKUP(H48,chave!$B$2:$C$49,2,FALSE),"x")="x"),1,0)</f>
        <v>0</v>
      </c>
      <c r="J48" s="11" t="str">
        <f t="shared" si="3"/>
        <v>23/06 20:00 - grupo L - Panamá x Croácia</v>
      </c>
      <c r="M48" s="12">
        <v>1.0</v>
      </c>
    </row>
    <row r="49" ht="15.75" customHeight="1">
      <c r="A49" s="13">
        <v>48.0</v>
      </c>
      <c r="B49" s="6" t="str">
        <f t="shared" si="1"/>
        <v>Tue</v>
      </c>
      <c r="C49" s="14">
        <f t="shared" si="2"/>
        <v>46196</v>
      </c>
      <c r="D49" s="14">
        <v>46196.0</v>
      </c>
      <c r="E49" s="20">
        <v>0.9583333333333334</v>
      </c>
      <c r="F49" s="18" t="s">
        <v>63</v>
      </c>
      <c r="G49" s="18" t="s">
        <v>72</v>
      </c>
      <c r="H49" s="18" t="s">
        <v>65</v>
      </c>
      <c r="I49" s="18">
        <f>IF(OR(LEFT(F49,5)&lt;&gt;"grupo",IFERROR(VLOOKUP(G49,chave!$B$2:$C$49,2,FALSE),"x")="x",IFERROR(VLOOKUP(H49,chave!$B$2:$C$49,2,FALSE),"x")="x"),1,0)</f>
        <v>0</v>
      </c>
      <c r="J49" s="11" t="str">
        <f t="shared" si="3"/>
        <v>23/06 23:00 - grupo K - Colômbia x Congo</v>
      </c>
      <c r="M49" s="12">
        <v>1.0</v>
      </c>
    </row>
    <row r="50" ht="15.75" customHeight="1">
      <c r="A50" s="5">
        <v>49.0</v>
      </c>
      <c r="B50" s="6" t="str">
        <f t="shared" si="1"/>
        <v>Wed</v>
      </c>
      <c r="C50" s="7">
        <f t="shared" si="2"/>
        <v>46197</v>
      </c>
      <c r="D50" s="7">
        <v>46197.0</v>
      </c>
      <c r="E50" s="21">
        <v>0.6666666666666666</v>
      </c>
      <c r="F50" s="6" t="s">
        <v>18</v>
      </c>
      <c r="G50" s="6" t="s">
        <v>25</v>
      </c>
      <c r="H50" s="6" t="s">
        <v>19</v>
      </c>
      <c r="I50" s="6">
        <f>IF(OR(LEFT(F50,5)&lt;&gt;"grupo",IFERROR(VLOOKUP(G50,chave!$B$2:$C$49,2,FALSE),"x")="x",IFERROR(VLOOKUP(H50,chave!$B$2:$C$49,2,FALSE),"x")="x"),1,0)</f>
        <v>1</v>
      </c>
      <c r="J50" s="11" t="str">
        <f t="shared" si="3"/>
        <v>24/06 16:00 - grupo B - Suíça x Canadá</v>
      </c>
      <c r="M50" s="12">
        <v>1.0</v>
      </c>
    </row>
    <row r="51" ht="15.75" customHeight="1">
      <c r="A51" s="13">
        <v>50.0</v>
      </c>
      <c r="B51" s="6" t="str">
        <f t="shared" si="1"/>
        <v>Wed</v>
      </c>
      <c r="C51" s="14">
        <f t="shared" si="2"/>
        <v>46197</v>
      </c>
      <c r="D51" s="14">
        <v>46197.0</v>
      </c>
      <c r="E51" s="20">
        <v>0.6666666666666666</v>
      </c>
      <c r="F51" s="18" t="s">
        <v>18</v>
      </c>
      <c r="G51" s="18" t="s">
        <v>20</v>
      </c>
      <c r="H51" s="18" t="s">
        <v>24</v>
      </c>
      <c r="I51" s="18">
        <f>IF(OR(LEFT(F51,5)&lt;&gt;"grupo",IFERROR(VLOOKUP(G51,chave!$B$2:$C$49,2,FALSE),"x")="x",IFERROR(VLOOKUP(H51,chave!$B$2:$C$49,2,FALSE),"x")="x"),1,0)</f>
        <v>0</v>
      </c>
      <c r="J51" s="11" t="str">
        <f t="shared" si="3"/>
        <v>24/06 16:00 - grupo B - Bósnia e H x Catar</v>
      </c>
      <c r="M51" s="12">
        <v>1.0</v>
      </c>
    </row>
    <row r="52" ht="15.75" customHeight="1">
      <c r="A52" s="5">
        <v>51.0</v>
      </c>
      <c r="B52" s="6" t="str">
        <f t="shared" si="1"/>
        <v>Wed</v>
      </c>
      <c r="C52" s="7">
        <f t="shared" si="2"/>
        <v>46197</v>
      </c>
      <c r="D52" s="7">
        <v>46197.0</v>
      </c>
      <c r="E52" s="21">
        <v>0.7916666666666666</v>
      </c>
      <c r="F52" s="6" t="s">
        <v>26</v>
      </c>
      <c r="G52" s="6" t="s">
        <v>30</v>
      </c>
      <c r="H52" s="6" t="s">
        <v>27</v>
      </c>
      <c r="I52" s="6">
        <f>IF(OR(LEFT(F52,5)&lt;&gt;"grupo",IFERROR(VLOOKUP(G52,chave!$B$2:$C$49,2,FALSE),"x")="x",IFERROR(VLOOKUP(H52,chave!$B$2:$C$49,2,FALSE),"x")="x"),1,0)</f>
        <v>1</v>
      </c>
      <c r="J52" s="11" t="str">
        <f t="shared" si="3"/>
        <v>24/06 19:00 - grupo C - Escócia x Brasil</v>
      </c>
      <c r="M52" s="12">
        <v>1.0</v>
      </c>
    </row>
    <row r="53" ht="15.75" customHeight="1">
      <c r="A53" s="13">
        <v>52.0</v>
      </c>
      <c r="B53" s="6" t="str">
        <f t="shared" si="1"/>
        <v>Wed</v>
      </c>
      <c r="C53" s="14">
        <f t="shared" si="2"/>
        <v>46197</v>
      </c>
      <c r="D53" s="14">
        <v>46197.0</v>
      </c>
      <c r="E53" s="20">
        <v>0.7916666666666666</v>
      </c>
      <c r="F53" s="18" t="s">
        <v>26</v>
      </c>
      <c r="G53" s="18" t="s">
        <v>28</v>
      </c>
      <c r="H53" s="18" t="s">
        <v>29</v>
      </c>
      <c r="I53" s="18">
        <f>IF(OR(LEFT(F53,5)&lt;&gt;"grupo",IFERROR(VLOOKUP(G53,chave!$B$2:$C$49,2,FALSE),"x")="x",IFERROR(VLOOKUP(H53,chave!$B$2:$C$49,2,FALSE),"x")="x"),1,0)</f>
        <v>0</v>
      </c>
      <c r="J53" s="11" t="str">
        <f t="shared" si="3"/>
        <v>24/06 19:00 - grupo C - Marrocos x Haiti</v>
      </c>
      <c r="M53" s="12">
        <v>1.0</v>
      </c>
    </row>
    <row r="54" ht="15.75" customHeight="1">
      <c r="A54" s="5">
        <v>53.0</v>
      </c>
      <c r="B54" s="6" t="str">
        <f t="shared" si="1"/>
        <v>Wed</v>
      </c>
      <c r="C54" s="7">
        <f t="shared" si="2"/>
        <v>46197</v>
      </c>
      <c r="D54" s="7">
        <v>46197.0</v>
      </c>
      <c r="E54" s="21">
        <v>0.9166666666666666</v>
      </c>
      <c r="F54" s="6" t="s">
        <v>13</v>
      </c>
      <c r="G54" s="6" t="s">
        <v>17</v>
      </c>
      <c r="H54" s="6" t="s">
        <v>14</v>
      </c>
      <c r="I54" s="6">
        <f>IF(OR(LEFT(F54,5)&lt;&gt;"grupo",IFERROR(VLOOKUP(G54,chave!$B$2:$C$49,2,FALSE),"x")="x",IFERROR(VLOOKUP(H54,chave!$B$2:$C$49,2,FALSE),"x")="x"),1,0)</f>
        <v>1</v>
      </c>
      <c r="J54" s="11" t="str">
        <f t="shared" si="3"/>
        <v>24/06 22:00 - grupo A - Rep. Tcheca x México</v>
      </c>
      <c r="M54" s="12">
        <v>1.0</v>
      </c>
    </row>
    <row r="55" ht="15.75" customHeight="1">
      <c r="A55" s="13">
        <v>54.0</v>
      </c>
      <c r="B55" s="6" t="str">
        <f t="shared" si="1"/>
        <v>Wed</v>
      </c>
      <c r="C55" s="14">
        <f t="shared" si="2"/>
        <v>46197</v>
      </c>
      <c r="D55" s="14">
        <v>46197.0</v>
      </c>
      <c r="E55" s="20">
        <v>0.9166666666666666</v>
      </c>
      <c r="F55" s="18" t="s">
        <v>13</v>
      </c>
      <c r="G55" s="18" t="s">
        <v>15</v>
      </c>
      <c r="H55" s="18" t="s">
        <v>16</v>
      </c>
      <c r="I55" s="18">
        <f>IF(OR(LEFT(F55,5)&lt;&gt;"grupo",IFERROR(VLOOKUP(G55,chave!$B$2:$C$49,2,FALSE),"x")="x",IFERROR(VLOOKUP(H55,chave!$B$2:$C$49,2,FALSE),"x")="x"),1,0)</f>
        <v>0</v>
      </c>
      <c r="J55" s="11" t="str">
        <f t="shared" si="3"/>
        <v>24/06 22:00 - grupo A - África do Sul x Coreia do Sul</v>
      </c>
      <c r="M55" s="12">
        <v>1.0</v>
      </c>
    </row>
    <row r="56" ht="15.75" customHeight="1">
      <c r="A56" s="5">
        <v>55.0</v>
      </c>
      <c r="B56" s="6" t="str">
        <f t="shared" si="1"/>
        <v>Thu</v>
      </c>
      <c r="C56" s="7">
        <f t="shared" si="2"/>
        <v>46198</v>
      </c>
      <c r="D56" s="7">
        <v>46198.0</v>
      </c>
      <c r="E56" s="21">
        <v>0.7083333333333334</v>
      </c>
      <c r="F56" s="6" t="s">
        <v>33</v>
      </c>
      <c r="G56" s="6" t="s">
        <v>40</v>
      </c>
      <c r="H56" s="6" t="s">
        <v>34</v>
      </c>
      <c r="I56" s="6">
        <f>IF(OR(LEFT(F56,5)&lt;&gt;"grupo",IFERROR(VLOOKUP(G56,chave!$B$2:$C$49,2,FALSE),"x")="x",IFERROR(VLOOKUP(H56,chave!$B$2:$C$49,2,FALSE),"x")="x"),1,0)</f>
        <v>1</v>
      </c>
      <c r="J56" s="11" t="str">
        <f t="shared" si="3"/>
        <v>25/06 17:00 - grupo E - Equador x Alemanha</v>
      </c>
      <c r="M56" s="12">
        <v>1.0</v>
      </c>
    </row>
    <row r="57" ht="15.75" customHeight="1">
      <c r="A57" s="13">
        <v>56.0</v>
      </c>
      <c r="B57" s="6" t="str">
        <f t="shared" si="1"/>
        <v>Thu</v>
      </c>
      <c r="C57" s="14">
        <f t="shared" si="2"/>
        <v>46198</v>
      </c>
      <c r="D57" s="14">
        <v>46198.0</v>
      </c>
      <c r="E57" s="20">
        <v>0.7083333333333334</v>
      </c>
      <c r="F57" s="18" t="s">
        <v>33</v>
      </c>
      <c r="G57" s="18" t="s">
        <v>35</v>
      </c>
      <c r="H57" s="18" t="s">
        <v>39</v>
      </c>
      <c r="I57" s="18">
        <f>IF(OR(LEFT(F57,5)&lt;&gt;"grupo",IFERROR(VLOOKUP(G57,chave!$B$2:$C$49,2,FALSE),"x")="x",IFERROR(VLOOKUP(H57,chave!$B$2:$C$49,2,FALSE),"x")="x"),1,0)</f>
        <v>0</v>
      </c>
      <c r="J57" s="11" t="str">
        <f t="shared" si="3"/>
        <v>25/06 17:00 - grupo E - Curaçau x Costa do Marfim</v>
      </c>
      <c r="M57" s="12">
        <v>1.0</v>
      </c>
    </row>
    <row r="58" ht="15.75" customHeight="1">
      <c r="A58" s="5">
        <v>57.0</v>
      </c>
      <c r="B58" s="6" t="str">
        <f t="shared" si="1"/>
        <v>Thu</v>
      </c>
      <c r="C58" s="7">
        <f t="shared" si="2"/>
        <v>46198</v>
      </c>
      <c r="D58" s="7">
        <v>46198.0</v>
      </c>
      <c r="E58" s="21">
        <v>0.8333333333333334</v>
      </c>
      <c r="F58" s="6" t="s">
        <v>36</v>
      </c>
      <c r="G58" s="6" t="s">
        <v>38</v>
      </c>
      <c r="H58" s="6" t="s">
        <v>41</v>
      </c>
      <c r="I58" s="6">
        <f>IF(OR(LEFT(F58,5)&lt;&gt;"grupo",IFERROR(VLOOKUP(G58,chave!$B$2:$C$49,2,FALSE),"x")="x",IFERROR(VLOOKUP(H58,chave!$B$2:$C$49,2,FALSE),"x")="x"),1,0)</f>
        <v>0</v>
      </c>
      <c r="J58" s="11" t="str">
        <f t="shared" si="3"/>
        <v>25/06 20:00 - grupo F - Japão x Suécia</v>
      </c>
      <c r="M58" s="12">
        <v>1.0</v>
      </c>
    </row>
    <row r="59" ht="15.75" customHeight="1">
      <c r="A59" s="13">
        <v>58.0</v>
      </c>
      <c r="B59" s="6" t="str">
        <f t="shared" si="1"/>
        <v>Thu</v>
      </c>
      <c r="C59" s="14">
        <f t="shared" si="2"/>
        <v>46198</v>
      </c>
      <c r="D59" s="14">
        <v>46198.0</v>
      </c>
      <c r="E59" s="20">
        <v>0.8333333333333334</v>
      </c>
      <c r="F59" s="18" t="s">
        <v>36</v>
      </c>
      <c r="G59" s="18" t="s">
        <v>42</v>
      </c>
      <c r="H59" s="18" t="s">
        <v>37</v>
      </c>
      <c r="I59" s="18">
        <f>IF(OR(LEFT(F59,5)&lt;&gt;"grupo",IFERROR(VLOOKUP(G59,chave!$B$2:$C$49,2,FALSE),"x")="x",IFERROR(VLOOKUP(H59,chave!$B$2:$C$49,2,FALSE),"x")="x"),1,0)</f>
        <v>1</v>
      </c>
      <c r="J59" s="11" t="str">
        <f t="shared" si="3"/>
        <v>25/06 20:00 - grupo F - Tunísia x Holanda</v>
      </c>
      <c r="M59" s="12">
        <v>1.0</v>
      </c>
    </row>
    <row r="60" ht="15.75" customHeight="1">
      <c r="A60" s="5">
        <v>59.0</v>
      </c>
      <c r="B60" s="6" t="str">
        <f t="shared" si="1"/>
        <v>Thu</v>
      </c>
      <c r="C60" s="7">
        <f t="shared" si="2"/>
        <v>46198</v>
      </c>
      <c r="D60" s="7">
        <v>46198.0</v>
      </c>
      <c r="E60" s="21">
        <v>0.9583333333333334</v>
      </c>
      <c r="F60" s="6" t="s">
        <v>21</v>
      </c>
      <c r="G60" s="6" t="s">
        <v>32</v>
      </c>
      <c r="H60" s="6" t="s">
        <v>22</v>
      </c>
      <c r="I60" s="6">
        <f>IF(OR(LEFT(F60,5)&lt;&gt;"grupo",IFERROR(VLOOKUP(G60,chave!$B$2:$C$49,2,FALSE),"x")="x",IFERROR(VLOOKUP(H60,chave!$B$2:$C$49,2,FALSE),"x")="x"),1,0)</f>
        <v>1</v>
      </c>
      <c r="J60" s="11" t="str">
        <f t="shared" si="3"/>
        <v>25/06 23:00 - grupo D - Turquia x Estados Unidos</v>
      </c>
      <c r="M60" s="12">
        <v>1.0</v>
      </c>
    </row>
    <row r="61" ht="15.75" customHeight="1">
      <c r="A61" s="13">
        <v>60.0</v>
      </c>
      <c r="B61" s="6" t="str">
        <f t="shared" si="1"/>
        <v>Thu</v>
      </c>
      <c r="C61" s="14">
        <f t="shared" si="2"/>
        <v>46198</v>
      </c>
      <c r="D61" s="14">
        <v>46198.0</v>
      </c>
      <c r="E61" s="20">
        <v>0.9583333333333334</v>
      </c>
      <c r="F61" s="18" t="s">
        <v>21</v>
      </c>
      <c r="G61" s="18" t="s">
        <v>23</v>
      </c>
      <c r="H61" s="18" t="s">
        <v>31</v>
      </c>
      <c r="I61" s="18">
        <f>IF(OR(LEFT(F61,5)&lt;&gt;"grupo",IFERROR(VLOOKUP(G61,chave!$B$2:$C$49,2,FALSE),"x")="x",IFERROR(VLOOKUP(H61,chave!$B$2:$C$49,2,FALSE),"x")="x"),1,0)</f>
        <v>0</v>
      </c>
      <c r="J61" s="11" t="str">
        <f t="shared" si="3"/>
        <v>25/06 23:00 - grupo D - Paraguai x Austrália</v>
      </c>
      <c r="M61" s="12">
        <v>1.0</v>
      </c>
    </row>
    <row r="62" ht="15.75" customHeight="1">
      <c r="A62" s="5">
        <v>61.0</v>
      </c>
      <c r="B62" s="6" t="str">
        <f t="shared" si="1"/>
        <v>Fri</v>
      </c>
      <c r="C62" s="7">
        <f t="shared" si="2"/>
        <v>46199</v>
      </c>
      <c r="D62" s="7">
        <v>46199.0</v>
      </c>
      <c r="E62" s="21">
        <v>0.6666666666666666</v>
      </c>
      <c r="F62" s="6" t="s">
        <v>53</v>
      </c>
      <c r="G62" s="6" t="s">
        <v>57</v>
      </c>
      <c r="H62" s="6" t="s">
        <v>54</v>
      </c>
      <c r="I62" s="6">
        <f>IF(OR(LEFT(F62,5)&lt;&gt;"grupo",IFERROR(VLOOKUP(G62,chave!$B$2:$C$49,2,FALSE),"x")="x",IFERROR(VLOOKUP(H62,chave!$B$2:$C$49,2,FALSE),"x")="x"),1,0)</f>
        <v>1</v>
      </c>
      <c r="J62" s="11" t="str">
        <f t="shared" si="3"/>
        <v>26/06 16:00 - grupo I - Noruega x França</v>
      </c>
      <c r="M62" s="12">
        <v>1.0</v>
      </c>
    </row>
    <row r="63" ht="15.75" customHeight="1">
      <c r="A63" s="13">
        <v>62.0</v>
      </c>
      <c r="B63" s="6" t="str">
        <f t="shared" si="1"/>
        <v>Fri</v>
      </c>
      <c r="C63" s="14">
        <f t="shared" si="2"/>
        <v>46199</v>
      </c>
      <c r="D63" s="14">
        <v>46199.0</v>
      </c>
      <c r="E63" s="20">
        <v>0.6666666666666666</v>
      </c>
      <c r="F63" s="18" t="s">
        <v>53</v>
      </c>
      <c r="G63" s="18" t="s">
        <v>55</v>
      </c>
      <c r="H63" s="18" t="s">
        <v>56</v>
      </c>
      <c r="I63" s="18">
        <f>IF(OR(LEFT(F63,5)&lt;&gt;"grupo",IFERROR(VLOOKUP(G63,chave!$B$2:$C$49,2,FALSE),"x")="x",IFERROR(VLOOKUP(H63,chave!$B$2:$C$49,2,FALSE),"x")="x"),1,0)</f>
        <v>0</v>
      </c>
      <c r="J63" s="11" t="str">
        <f t="shared" si="3"/>
        <v>26/06 16:00 - grupo I - Senegal x Iraque</v>
      </c>
      <c r="M63" s="12">
        <v>1.0</v>
      </c>
    </row>
    <row r="64" ht="15.75" customHeight="1">
      <c r="A64" s="5">
        <v>63.0</v>
      </c>
      <c r="B64" s="6" t="str">
        <f t="shared" si="1"/>
        <v>Fri</v>
      </c>
      <c r="C64" s="7">
        <f t="shared" si="2"/>
        <v>46199</v>
      </c>
      <c r="D64" s="7">
        <v>46199.0</v>
      </c>
      <c r="E64" s="21">
        <v>0.875</v>
      </c>
      <c r="F64" s="6" t="s">
        <v>43</v>
      </c>
      <c r="G64" s="6" t="s">
        <v>45</v>
      </c>
      <c r="H64" s="6" t="s">
        <v>49</v>
      </c>
      <c r="I64" s="6">
        <f>IF(OR(LEFT(F64,5)&lt;&gt;"grupo",IFERROR(VLOOKUP(G64,chave!$B$2:$C$49,2,FALSE),"x")="x",IFERROR(VLOOKUP(H64,chave!$B$2:$C$49,2,FALSE),"x")="x"),1,0)</f>
        <v>0</v>
      </c>
      <c r="J64" s="11" t="str">
        <f t="shared" si="3"/>
        <v>26/06 21:00 - grupo H - Cabo Verde x Arábia Saudita</v>
      </c>
      <c r="M64" s="12">
        <v>1.0</v>
      </c>
    </row>
    <row r="65" ht="15.75" customHeight="1">
      <c r="A65" s="13">
        <v>64.0</v>
      </c>
      <c r="B65" s="6" t="str">
        <f t="shared" si="1"/>
        <v>Fri</v>
      </c>
      <c r="C65" s="14">
        <f t="shared" si="2"/>
        <v>46199</v>
      </c>
      <c r="D65" s="14">
        <v>46199.0</v>
      </c>
      <c r="E65" s="20">
        <v>0.875</v>
      </c>
      <c r="F65" s="18" t="s">
        <v>43</v>
      </c>
      <c r="G65" s="18" t="s">
        <v>50</v>
      </c>
      <c r="H65" s="18" t="s">
        <v>44</v>
      </c>
      <c r="I65" s="18">
        <f>IF(OR(LEFT(F65,5)&lt;&gt;"grupo",IFERROR(VLOOKUP(G65,chave!$B$2:$C$49,2,FALSE),"x")="x",IFERROR(VLOOKUP(H65,chave!$B$2:$C$49,2,FALSE),"x")="x"),1,0)</f>
        <v>1</v>
      </c>
      <c r="J65" s="11" t="str">
        <f t="shared" si="3"/>
        <v>26/06 21:00 - grupo H - Uruguai x Espanha</v>
      </c>
      <c r="M65" s="12">
        <v>1.0</v>
      </c>
    </row>
    <row r="66" ht="15.75" customHeight="1">
      <c r="A66" s="5">
        <v>65.0</v>
      </c>
      <c r="B66" s="6" t="str">
        <f t="shared" si="1"/>
        <v>Sat</v>
      </c>
      <c r="C66" s="7">
        <f t="shared" si="2"/>
        <v>46199</v>
      </c>
      <c r="D66" s="7">
        <v>46200.0</v>
      </c>
      <c r="E66" s="21">
        <v>0.0</v>
      </c>
      <c r="F66" s="6" t="s">
        <v>46</v>
      </c>
      <c r="G66" s="6" t="s">
        <v>48</v>
      </c>
      <c r="H66" s="6" t="s">
        <v>51</v>
      </c>
      <c r="I66" s="6">
        <f>IF(OR(LEFT(F66,5)&lt;&gt;"grupo",IFERROR(VLOOKUP(G66,chave!$B$2:$C$49,2,FALSE),"x")="x",IFERROR(VLOOKUP(H66,chave!$B$2:$C$49,2,FALSE),"x")="x"),1,0)</f>
        <v>0</v>
      </c>
      <c r="J66" s="11" t="str">
        <f t="shared" si="3"/>
        <v>27/06 00:00 - grupo G - Egito x Irã</v>
      </c>
      <c r="M66" s="12">
        <v>1.0</v>
      </c>
    </row>
    <row r="67" ht="15.75" customHeight="1">
      <c r="A67" s="13">
        <v>66.0</v>
      </c>
      <c r="B67" s="6" t="str">
        <f t="shared" si="1"/>
        <v>Sat</v>
      </c>
      <c r="C67" s="14">
        <f t="shared" si="2"/>
        <v>46199</v>
      </c>
      <c r="D67" s="14">
        <v>46200.0</v>
      </c>
      <c r="E67" s="20">
        <v>0.0</v>
      </c>
      <c r="F67" s="18" t="s">
        <v>46</v>
      </c>
      <c r="G67" s="18" t="s">
        <v>52</v>
      </c>
      <c r="H67" s="18" t="s">
        <v>47</v>
      </c>
      <c r="I67" s="18">
        <f>IF(OR(LEFT(F67,5)&lt;&gt;"grupo",IFERROR(VLOOKUP(G67,chave!$B$2:$C$49,2,FALSE),"x")="x",IFERROR(VLOOKUP(H67,chave!$B$2:$C$49,2,FALSE),"x")="x"),1,0)</f>
        <v>1</v>
      </c>
      <c r="J67" s="11" t="str">
        <f t="shared" si="3"/>
        <v>27/06 00:00 - grupo G - Nova Zelândia x Bélgica</v>
      </c>
      <c r="M67" s="12">
        <v>1.0</v>
      </c>
    </row>
    <row r="68" ht="15.75" customHeight="1">
      <c r="A68" s="5">
        <v>67.0</v>
      </c>
      <c r="B68" s="6" t="str">
        <f t="shared" si="1"/>
        <v>Sat</v>
      </c>
      <c r="C68" s="7">
        <f t="shared" si="2"/>
        <v>46200</v>
      </c>
      <c r="D68" s="7">
        <v>46200.0</v>
      </c>
      <c r="E68" s="21">
        <v>0.75</v>
      </c>
      <c r="F68" s="6" t="s">
        <v>66</v>
      </c>
      <c r="G68" s="6" t="s">
        <v>70</v>
      </c>
      <c r="H68" s="6" t="s">
        <v>67</v>
      </c>
      <c r="I68" s="6">
        <f>IF(OR(LEFT(F68,5)&lt;&gt;"grupo",IFERROR(VLOOKUP(G68,chave!$B$2:$C$49,2,FALSE),"x")="x",IFERROR(VLOOKUP(H68,chave!$B$2:$C$49,2,FALSE),"x")="x"),1,0)</f>
        <v>1</v>
      </c>
      <c r="J68" s="11" t="str">
        <f t="shared" si="3"/>
        <v>27/06 18:00 - grupo L - Panamá x Inglaterra</v>
      </c>
      <c r="M68" s="12">
        <v>1.0</v>
      </c>
    </row>
    <row r="69" ht="15.75" customHeight="1">
      <c r="A69" s="13">
        <v>68.0</v>
      </c>
      <c r="B69" s="6" t="str">
        <f t="shared" si="1"/>
        <v>Sat</v>
      </c>
      <c r="C69" s="14">
        <f t="shared" si="2"/>
        <v>46200</v>
      </c>
      <c r="D69" s="14">
        <v>46200.0</v>
      </c>
      <c r="E69" s="20">
        <v>0.75</v>
      </c>
      <c r="F69" s="18" t="s">
        <v>66</v>
      </c>
      <c r="G69" s="18" t="s">
        <v>68</v>
      </c>
      <c r="H69" s="18" t="s">
        <v>69</v>
      </c>
      <c r="I69" s="18">
        <f>IF(OR(LEFT(F69,5)&lt;&gt;"grupo",IFERROR(VLOOKUP(G69,chave!$B$2:$C$49,2,FALSE),"x")="x",IFERROR(VLOOKUP(H69,chave!$B$2:$C$49,2,FALSE),"x")="x"),1,0)</f>
        <v>0</v>
      </c>
      <c r="J69" s="11" t="str">
        <f t="shared" si="3"/>
        <v>27/06 18:00 - grupo L - Croácia x Gana</v>
      </c>
      <c r="M69" s="12">
        <v>1.0</v>
      </c>
    </row>
    <row r="70" ht="15.75" customHeight="1">
      <c r="A70" s="5">
        <v>69.0</v>
      </c>
      <c r="B70" s="6" t="str">
        <f t="shared" si="1"/>
        <v>Sat</v>
      </c>
      <c r="C70" s="7">
        <f t="shared" si="2"/>
        <v>46200</v>
      </c>
      <c r="D70" s="7">
        <v>46200.0</v>
      </c>
      <c r="E70" s="21">
        <v>0.8541666666666666</v>
      </c>
      <c r="F70" s="6" t="s">
        <v>63</v>
      </c>
      <c r="G70" s="6" t="s">
        <v>72</v>
      </c>
      <c r="H70" s="6" t="s">
        <v>64</v>
      </c>
      <c r="I70" s="6">
        <f>IF(OR(LEFT(F70,5)&lt;&gt;"grupo",IFERROR(VLOOKUP(G70,chave!$B$2:$C$49,2,FALSE),"x")="x",IFERROR(VLOOKUP(H70,chave!$B$2:$C$49,2,FALSE),"x")="x"),1,0)</f>
        <v>1</v>
      </c>
      <c r="J70" s="11" t="str">
        <f t="shared" si="3"/>
        <v>27/06 20:30 - grupo K - Colômbia x Portugal</v>
      </c>
      <c r="M70" s="12">
        <v>1.0</v>
      </c>
    </row>
    <row r="71" ht="15.75" customHeight="1">
      <c r="A71" s="13">
        <v>70.0</v>
      </c>
      <c r="B71" s="6" t="str">
        <f t="shared" si="1"/>
        <v>Sat</v>
      </c>
      <c r="C71" s="14">
        <f t="shared" si="2"/>
        <v>46200</v>
      </c>
      <c r="D71" s="14">
        <v>46200.0</v>
      </c>
      <c r="E71" s="20">
        <v>0.8541666666666666</v>
      </c>
      <c r="F71" s="18" t="s">
        <v>63</v>
      </c>
      <c r="G71" s="18" t="s">
        <v>65</v>
      </c>
      <c r="H71" s="18" t="s">
        <v>71</v>
      </c>
      <c r="I71" s="18">
        <f>IF(OR(LEFT(F71,5)&lt;&gt;"grupo",IFERROR(VLOOKUP(G71,chave!$B$2:$C$49,2,FALSE),"x")="x",IFERROR(VLOOKUP(H71,chave!$B$2:$C$49,2,FALSE),"x")="x"),1,0)</f>
        <v>0</v>
      </c>
      <c r="J71" s="11" t="str">
        <f t="shared" si="3"/>
        <v>27/06 20:30 - grupo K - Congo x Uzbequistão</v>
      </c>
      <c r="M71" s="12">
        <v>1.0</v>
      </c>
    </row>
    <row r="72" ht="15.75" customHeight="1">
      <c r="A72" s="5">
        <v>71.0</v>
      </c>
      <c r="B72" s="6" t="str">
        <f t="shared" si="1"/>
        <v>Sat</v>
      </c>
      <c r="C72" s="7">
        <f t="shared" si="2"/>
        <v>46200</v>
      </c>
      <c r="D72" s="7">
        <v>46200.0</v>
      </c>
      <c r="E72" s="21">
        <v>0.9583333333333334</v>
      </c>
      <c r="F72" s="6" t="s">
        <v>58</v>
      </c>
      <c r="G72" s="6" t="s">
        <v>60</v>
      </c>
      <c r="H72" s="6" t="s">
        <v>61</v>
      </c>
      <c r="I72" s="6">
        <f>IF(OR(LEFT(F72,5)&lt;&gt;"grupo",IFERROR(VLOOKUP(G72,chave!$B$2:$C$49,2,FALSE),"x")="x",IFERROR(VLOOKUP(H72,chave!$B$2:$C$49,2,FALSE),"x")="x"),1,0)</f>
        <v>0</v>
      </c>
      <c r="J72" s="11" t="str">
        <f t="shared" si="3"/>
        <v>27/06 23:00 - grupo J - Argélia x Áustria</v>
      </c>
      <c r="M72" s="12">
        <v>1.0</v>
      </c>
    </row>
    <row r="73" ht="15.75" customHeight="1">
      <c r="A73" s="13">
        <v>72.0</v>
      </c>
      <c r="B73" s="6" t="str">
        <f t="shared" si="1"/>
        <v>Sat</v>
      </c>
      <c r="C73" s="14">
        <f t="shared" si="2"/>
        <v>46200</v>
      </c>
      <c r="D73" s="14">
        <v>46200.0</v>
      </c>
      <c r="E73" s="20">
        <v>0.9583333333333334</v>
      </c>
      <c r="F73" s="18" t="s">
        <v>58</v>
      </c>
      <c r="G73" s="18" t="s">
        <v>62</v>
      </c>
      <c r="H73" s="18" t="s">
        <v>59</v>
      </c>
      <c r="I73" s="18">
        <f>IF(OR(LEFT(F73,5)&lt;&gt;"grupo",IFERROR(VLOOKUP(G73,chave!$B$2:$C$49,2,FALSE),"x")="x",IFERROR(VLOOKUP(H73,chave!$B$2:$C$49,2,FALSE),"x")="x"),1,0)</f>
        <v>1</v>
      </c>
      <c r="J73" s="11" t="str">
        <f t="shared" si="3"/>
        <v>27/06 23:00 - grupo J - Jordânia x Argentina</v>
      </c>
      <c r="M73" s="12">
        <v>1.0</v>
      </c>
    </row>
    <row r="74" ht="15.75" customHeight="1">
      <c r="A74" s="5">
        <v>73.0</v>
      </c>
      <c r="B74" s="6" t="str">
        <f t="shared" si="1"/>
        <v>Sun</v>
      </c>
      <c r="C74" s="7">
        <f t="shared" si="2"/>
        <v>46201</v>
      </c>
      <c r="D74" s="7">
        <v>46201.0</v>
      </c>
      <c r="E74" s="21">
        <v>0.6666666666666666</v>
      </c>
      <c r="F74" s="6" t="s">
        <v>73</v>
      </c>
      <c r="G74" s="6" t="s">
        <v>74</v>
      </c>
      <c r="H74" s="6" t="s">
        <v>75</v>
      </c>
      <c r="I74" s="6">
        <f>IF(OR(LEFT(F74,5)&lt;&gt;"grupo",IFERROR(VLOOKUP(G74,chave!$B$2:$C$49,2,FALSE),"x")="x",IFERROR(VLOOKUP(H74,chave!$B$2:$C$49,2,FALSE),"x")="x"),1,0)</f>
        <v>1</v>
      </c>
      <c r="J74" s="11" t="str">
        <f t="shared" si="3"/>
        <v>28/06 16:00 - 16-avos - 2.º grupo A x 2.º grupo B</v>
      </c>
      <c r="M74" s="12">
        <v>1.0</v>
      </c>
    </row>
    <row r="75" ht="15.75" customHeight="1">
      <c r="A75" s="13">
        <v>74.0</v>
      </c>
      <c r="B75" s="6" t="str">
        <f t="shared" si="1"/>
        <v>Mon</v>
      </c>
      <c r="C75" s="14">
        <f t="shared" si="2"/>
        <v>46202</v>
      </c>
      <c r="D75" s="14">
        <v>46202.0</v>
      </c>
      <c r="E75" s="20">
        <v>0.5416666666666666</v>
      </c>
      <c r="F75" s="18" t="s">
        <v>73</v>
      </c>
      <c r="G75" s="18" t="s">
        <v>76</v>
      </c>
      <c r="H75" s="18" t="s">
        <v>77</v>
      </c>
      <c r="I75" s="18">
        <f>IF(OR(LEFT(F75,5)&lt;&gt;"grupo",IFERROR(VLOOKUP(G75,chave!$B$2:$C$49,2,FALSE),"x")="x",IFERROR(VLOOKUP(H75,chave!$B$2:$C$49,2,FALSE),"x")="x"),1,0)</f>
        <v>1</v>
      </c>
      <c r="J75" s="11" t="str">
        <f t="shared" si="3"/>
        <v>29/06 13:00 - 16-avos - 1.º grupo E x 3.º gr A/B/C/D/F</v>
      </c>
      <c r="M75" s="12">
        <v>1.0</v>
      </c>
    </row>
    <row r="76" ht="15.75" customHeight="1">
      <c r="A76" s="5">
        <v>75.0</v>
      </c>
      <c r="B76" s="6" t="str">
        <f t="shared" si="1"/>
        <v>Mon</v>
      </c>
      <c r="C76" s="7">
        <f t="shared" si="2"/>
        <v>46202</v>
      </c>
      <c r="D76" s="7">
        <v>46202.0</v>
      </c>
      <c r="E76" s="21">
        <v>0.8125</v>
      </c>
      <c r="F76" s="6" t="s">
        <v>73</v>
      </c>
      <c r="G76" s="6" t="s">
        <v>78</v>
      </c>
      <c r="H76" s="6" t="s">
        <v>79</v>
      </c>
      <c r="I76" s="6">
        <f>IF(OR(LEFT(F76,5)&lt;&gt;"grupo",IFERROR(VLOOKUP(G76,chave!$B$2:$C$49,2,FALSE),"x")="x",IFERROR(VLOOKUP(H76,chave!$B$2:$C$49,2,FALSE),"x")="x"),1,0)</f>
        <v>1</v>
      </c>
      <c r="J76" s="11" t="str">
        <f t="shared" si="3"/>
        <v>29/06 19:30 - 16-avos - 1.º grupo F x 2.º grupo C</v>
      </c>
      <c r="M76" s="12">
        <v>1.0</v>
      </c>
    </row>
    <row r="77" ht="15.75" customHeight="1">
      <c r="A77" s="13">
        <v>76.0</v>
      </c>
      <c r="B77" s="6" t="str">
        <f t="shared" si="1"/>
        <v>Mon</v>
      </c>
      <c r="C77" s="14">
        <f t="shared" si="2"/>
        <v>46202</v>
      </c>
      <c r="D77" s="14">
        <v>46202.0</v>
      </c>
      <c r="E77" s="20">
        <v>0.875</v>
      </c>
      <c r="F77" s="18" t="s">
        <v>73</v>
      </c>
      <c r="G77" s="18" t="s">
        <v>80</v>
      </c>
      <c r="H77" s="18" t="s">
        <v>81</v>
      </c>
      <c r="I77" s="18">
        <f>IF(OR(LEFT(F77,5)&lt;&gt;"grupo",IFERROR(VLOOKUP(G77,chave!$B$2:$C$49,2,FALSE),"x")="x",IFERROR(VLOOKUP(H77,chave!$B$2:$C$49,2,FALSE),"x")="x"),1,0)</f>
        <v>1</v>
      </c>
      <c r="J77" s="11" t="str">
        <f t="shared" si="3"/>
        <v>29/06 21:00 - 16-avos - 1.º grupo C x 2.º grupo F</v>
      </c>
      <c r="M77" s="12">
        <v>1.0</v>
      </c>
    </row>
    <row r="78" ht="15.75" customHeight="1">
      <c r="A78" s="5">
        <v>78.0</v>
      </c>
      <c r="B78" s="6" t="str">
        <f t="shared" si="1"/>
        <v>Tue</v>
      </c>
      <c r="C78" s="7">
        <f t="shared" si="2"/>
        <v>46203</v>
      </c>
      <c r="D78" s="7">
        <v>46203.0</v>
      </c>
      <c r="E78" s="21">
        <v>0.5833333333333334</v>
      </c>
      <c r="F78" s="6" t="s">
        <v>73</v>
      </c>
      <c r="G78" s="6" t="s">
        <v>82</v>
      </c>
      <c r="H78" s="6" t="s">
        <v>83</v>
      </c>
      <c r="I78" s="6">
        <f>IF(OR(LEFT(F78,5)&lt;&gt;"grupo",IFERROR(VLOOKUP(G78,chave!$B$2:$C$49,2,FALSE),"x")="x",IFERROR(VLOOKUP(H78,chave!$B$2:$C$49,2,FALSE),"x")="x"),1,0)</f>
        <v>1</v>
      </c>
      <c r="J78" s="11" t="str">
        <f t="shared" si="3"/>
        <v>30/06 14:00 - 16-avos - 2.º grupo E x 2.º grupo I</v>
      </c>
      <c r="M78" s="12">
        <v>1.0</v>
      </c>
    </row>
    <row r="79" ht="15.75" customHeight="1">
      <c r="A79" s="13">
        <v>77.0</v>
      </c>
      <c r="B79" s="6" t="str">
        <f t="shared" si="1"/>
        <v>Tue</v>
      </c>
      <c r="C79" s="14">
        <f t="shared" si="2"/>
        <v>46203</v>
      </c>
      <c r="D79" s="14">
        <v>46203.0</v>
      </c>
      <c r="E79" s="20">
        <v>0.75</v>
      </c>
      <c r="F79" s="18" t="s">
        <v>73</v>
      </c>
      <c r="G79" s="18" t="s">
        <v>84</v>
      </c>
      <c r="H79" s="18" t="s">
        <v>85</v>
      </c>
      <c r="I79" s="18">
        <f>IF(OR(LEFT(F79,5)&lt;&gt;"grupo",IFERROR(VLOOKUP(G79,chave!$B$2:$C$49,2,FALSE),"x")="x",IFERROR(VLOOKUP(H79,chave!$B$2:$C$49,2,FALSE),"x")="x"),1,0)</f>
        <v>1</v>
      </c>
      <c r="J79" s="11" t="str">
        <f t="shared" si="3"/>
        <v>30/06 18:00 - 16-avos - 1.º grupo I x 3.º gr C/D/F/G/H</v>
      </c>
      <c r="M79" s="12">
        <v>1.0</v>
      </c>
    </row>
    <row r="80" ht="15.75" customHeight="1">
      <c r="A80" s="5">
        <v>79.0</v>
      </c>
      <c r="B80" s="6" t="str">
        <f t="shared" si="1"/>
        <v>Tue</v>
      </c>
      <c r="C80" s="7">
        <f t="shared" si="2"/>
        <v>46203</v>
      </c>
      <c r="D80" s="7">
        <v>46203.0</v>
      </c>
      <c r="E80" s="21">
        <v>0.9166666666666666</v>
      </c>
      <c r="F80" s="6" t="s">
        <v>73</v>
      </c>
      <c r="G80" s="6" t="s">
        <v>86</v>
      </c>
      <c r="H80" s="6" t="s">
        <v>87</v>
      </c>
      <c r="I80" s="6">
        <f>IF(OR(LEFT(F80,5)&lt;&gt;"grupo",IFERROR(VLOOKUP(G80,chave!$B$2:$C$49,2,FALSE),"x")="x",IFERROR(VLOOKUP(H80,chave!$B$2:$C$49,2,FALSE),"x")="x"),1,0)</f>
        <v>1</v>
      </c>
      <c r="J80" s="11" t="str">
        <f t="shared" si="3"/>
        <v>30/06 22:00 - 16-avos - 1.º grupo A x 3.º gr C/E/F/H/I</v>
      </c>
      <c r="M80" s="12">
        <v>1.0</v>
      </c>
    </row>
    <row r="81" ht="15.75" customHeight="1">
      <c r="A81" s="13">
        <v>80.0</v>
      </c>
      <c r="B81" s="6" t="str">
        <f t="shared" si="1"/>
        <v>Wed</v>
      </c>
      <c r="C81" s="14">
        <f t="shared" si="2"/>
        <v>46204</v>
      </c>
      <c r="D81" s="14">
        <v>46204.0</v>
      </c>
      <c r="E81" s="20">
        <v>0.5416666666666666</v>
      </c>
      <c r="F81" s="18" t="s">
        <v>73</v>
      </c>
      <c r="G81" s="18" t="s">
        <v>88</v>
      </c>
      <c r="H81" s="18" t="s">
        <v>89</v>
      </c>
      <c r="I81" s="18">
        <f>IF(OR(LEFT(F81,5)&lt;&gt;"grupo",IFERROR(VLOOKUP(G81,chave!$B$2:$C$49,2,FALSE),"x")="x",IFERROR(VLOOKUP(H81,chave!$B$2:$C$49,2,FALSE),"x")="x"),1,0)</f>
        <v>1</v>
      </c>
      <c r="J81" s="11" t="str">
        <f t="shared" si="3"/>
        <v>01/07 13:00 - 16-avos - 1.º grupo L x 3.º gr E/H/I/J/K</v>
      </c>
      <c r="M81" s="12">
        <v>1.0</v>
      </c>
    </row>
    <row r="82" ht="15.75" customHeight="1">
      <c r="A82" s="5">
        <v>82.0</v>
      </c>
      <c r="B82" s="6" t="str">
        <f t="shared" si="1"/>
        <v>Wed</v>
      </c>
      <c r="C82" s="7">
        <f t="shared" si="2"/>
        <v>46204</v>
      </c>
      <c r="D82" s="7">
        <v>46204.0</v>
      </c>
      <c r="E82" s="21">
        <v>0.7083333333333334</v>
      </c>
      <c r="F82" s="6" t="s">
        <v>73</v>
      </c>
      <c r="G82" s="6" t="s">
        <v>90</v>
      </c>
      <c r="H82" s="6" t="s">
        <v>91</v>
      </c>
      <c r="I82" s="6">
        <f>IF(OR(LEFT(F82,5)&lt;&gt;"grupo",IFERROR(VLOOKUP(G82,chave!$B$2:$C$49,2,FALSE),"x")="x",IFERROR(VLOOKUP(H82,chave!$B$2:$C$49,2,FALSE),"x")="x"),1,0)</f>
        <v>1</v>
      </c>
      <c r="J82" s="11" t="str">
        <f t="shared" si="3"/>
        <v>01/07 17:00 - 16-avos - 1.º grupo G x 3.º gr A/E/H/I/J</v>
      </c>
      <c r="M82" s="12">
        <v>1.0</v>
      </c>
    </row>
    <row r="83" ht="15.75" customHeight="1">
      <c r="A83" s="13">
        <v>81.0</v>
      </c>
      <c r="B83" s="6" t="str">
        <f t="shared" si="1"/>
        <v>Wed</v>
      </c>
      <c r="C83" s="14">
        <f t="shared" si="2"/>
        <v>46204</v>
      </c>
      <c r="D83" s="14">
        <v>46204.0</v>
      </c>
      <c r="E83" s="20">
        <v>0.875</v>
      </c>
      <c r="F83" s="18" t="s">
        <v>73</v>
      </c>
      <c r="G83" s="18" t="s">
        <v>92</v>
      </c>
      <c r="H83" s="18" t="s">
        <v>93</v>
      </c>
      <c r="I83" s="18">
        <f>IF(OR(LEFT(F83,5)&lt;&gt;"grupo",IFERROR(VLOOKUP(G83,chave!$B$2:$C$49,2,FALSE),"x")="x",IFERROR(VLOOKUP(H83,chave!$B$2:$C$49,2,FALSE),"x")="x"),1,0)</f>
        <v>1</v>
      </c>
      <c r="J83" s="11" t="str">
        <f t="shared" si="3"/>
        <v>01/07 21:00 - 16-avos - 1.º grupo D x 3.º gr B/E/F/I/J</v>
      </c>
      <c r="M83" s="12">
        <v>1.0</v>
      </c>
    </row>
    <row r="84" ht="15.75" customHeight="1">
      <c r="A84" s="5">
        <v>83.0</v>
      </c>
      <c r="B84" s="6" t="str">
        <f t="shared" si="1"/>
        <v>Thu</v>
      </c>
      <c r="C84" s="7">
        <f t="shared" si="2"/>
        <v>46205</v>
      </c>
      <c r="D84" s="7">
        <v>46205.0</v>
      </c>
      <c r="E84" s="21">
        <v>0.5416666666666666</v>
      </c>
      <c r="F84" s="6" t="s">
        <v>73</v>
      </c>
      <c r="G84" s="6" t="s">
        <v>94</v>
      </c>
      <c r="H84" s="6" t="s">
        <v>95</v>
      </c>
      <c r="I84" s="6">
        <f>IF(OR(LEFT(F84,5)&lt;&gt;"grupo",IFERROR(VLOOKUP(G84,chave!$B$2:$C$49,2,FALSE),"x")="x",IFERROR(VLOOKUP(H84,chave!$B$2:$C$49,2,FALSE),"x")="x"),1,0)</f>
        <v>1</v>
      </c>
      <c r="J84" s="11" t="str">
        <f t="shared" si="3"/>
        <v>02/07 13:00 - 16-avos - 2.º grupo K x 2.º grupo L</v>
      </c>
      <c r="M84" s="12">
        <v>1.0</v>
      </c>
    </row>
    <row r="85" ht="15.75" customHeight="1">
      <c r="A85" s="13">
        <v>84.0</v>
      </c>
      <c r="B85" s="6" t="str">
        <f t="shared" si="1"/>
        <v>Thu</v>
      </c>
      <c r="C85" s="14">
        <f t="shared" si="2"/>
        <v>46205</v>
      </c>
      <c r="D85" s="14">
        <v>46205.0</v>
      </c>
      <c r="E85" s="20">
        <v>0.6666666666666666</v>
      </c>
      <c r="F85" s="18" t="s">
        <v>73</v>
      </c>
      <c r="G85" s="18" t="s">
        <v>96</v>
      </c>
      <c r="H85" s="18" t="s">
        <v>97</v>
      </c>
      <c r="I85" s="18">
        <f>IF(OR(LEFT(F85,5)&lt;&gt;"grupo",IFERROR(VLOOKUP(G85,chave!$B$2:$C$49,2,FALSE),"x")="x",IFERROR(VLOOKUP(H85,chave!$B$2:$C$49,2,FALSE),"x")="x"),1,0)</f>
        <v>1</v>
      </c>
      <c r="J85" s="11" t="str">
        <f t="shared" si="3"/>
        <v>02/07 16:00 - 16-avos - 1.º grupo H x 2.º grupo J</v>
      </c>
      <c r="M85" s="12">
        <v>1.0</v>
      </c>
    </row>
    <row r="86" ht="15.75" customHeight="1">
      <c r="A86" s="5">
        <v>85.0</v>
      </c>
      <c r="B86" s="6" t="str">
        <f t="shared" si="1"/>
        <v>Fri</v>
      </c>
      <c r="C86" s="7">
        <f t="shared" si="2"/>
        <v>46205</v>
      </c>
      <c r="D86" s="7">
        <v>46206.0</v>
      </c>
      <c r="E86" s="21">
        <v>0.0</v>
      </c>
      <c r="F86" s="6" t="s">
        <v>73</v>
      </c>
      <c r="G86" s="6" t="s">
        <v>98</v>
      </c>
      <c r="H86" s="6" t="s">
        <v>99</v>
      </c>
      <c r="I86" s="6">
        <f>IF(OR(LEFT(F86,5)&lt;&gt;"grupo",IFERROR(VLOOKUP(G86,chave!$B$2:$C$49,2,FALSE),"x")="x",IFERROR(VLOOKUP(H86,chave!$B$2:$C$49,2,FALSE),"x")="x"),1,0)</f>
        <v>1</v>
      </c>
      <c r="J86" s="11" t="str">
        <f t="shared" si="3"/>
        <v>03/07 00:00 - 16-avos - 1.º grupo B x 3.º gr E/F/G/I/J</v>
      </c>
      <c r="M86" s="12">
        <v>1.0</v>
      </c>
    </row>
    <row r="87" ht="15.75" customHeight="1">
      <c r="A87" s="13">
        <v>88.0</v>
      </c>
      <c r="B87" s="6" t="str">
        <f t="shared" si="1"/>
        <v>Fri</v>
      </c>
      <c r="C87" s="14">
        <f t="shared" si="2"/>
        <v>46206</v>
      </c>
      <c r="D87" s="14">
        <v>46206.0</v>
      </c>
      <c r="E87" s="20">
        <v>0.625</v>
      </c>
      <c r="F87" s="18" t="s">
        <v>73</v>
      </c>
      <c r="G87" s="18" t="s">
        <v>100</v>
      </c>
      <c r="H87" s="18" t="s">
        <v>101</v>
      </c>
      <c r="I87" s="18">
        <f>IF(OR(LEFT(F87,5)&lt;&gt;"grupo",IFERROR(VLOOKUP(G87,chave!$B$2:$C$49,2,FALSE),"x")="x",IFERROR(VLOOKUP(H87,chave!$B$2:$C$49,2,FALSE),"x")="x"),1,0)</f>
        <v>1</v>
      </c>
      <c r="J87" s="11" t="str">
        <f t="shared" si="3"/>
        <v>03/07 15:00 - 16-avos - 2.º grupo D x 2.º grupo G</v>
      </c>
      <c r="M87" s="12">
        <v>1.0</v>
      </c>
    </row>
    <row r="88" ht="15.75" customHeight="1">
      <c r="A88" s="5">
        <v>86.0</v>
      </c>
      <c r="B88" s="6" t="str">
        <f t="shared" si="1"/>
        <v>Fri</v>
      </c>
      <c r="C88" s="7">
        <f t="shared" si="2"/>
        <v>46206</v>
      </c>
      <c r="D88" s="7">
        <v>46206.0</v>
      </c>
      <c r="E88" s="21">
        <v>0.7916666666666666</v>
      </c>
      <c r="F88" s="6" t="s">
        <v>73</v>
      </c>
      <c r="G88" s="6" t="s">
        <v>102</v>
      </c>
      <c r="H88" s="6" t="s">
        <v>103</v>
      </c>
      <c r="I88" s="6">
        <f>IF(OR(LEFT(F88,5)&lt;&gt;"grupo",IFERROR(VLOOKUP(G88,chave!$B$2:$C$49,2,FALSE),"x")="x",IFERROR(VLOOKUP(H88,chave!$B$2:$C$49,2,FALSE),"x")="x"),1,0)</f>
        <v>1</v>
      </c>
      <c r="J88" s="11" t="str">
        <f t="shared" si="3"/>
        <v>03/07 19:00 - 16-avos - 1.º grupo J x 2.º grupo H</v>
      </c>
      <c r="M88" s="12">
        <v>1.0</v>
      </c>
    </row>
    <row r="89" ht="15.75" customHeight="1">
      <c r="A89" s="13">
        <v>87.0</v>
      </c>
      <c r="B89" s="6" t="str">
        <f t="shared" si="1"/>
        <v>Fri</v>
      </c>
      <c r="C89" s="14">
        <f t="shared" si="2"/>
        <v>46206</v>
      </c>
      <c r="D89" s="14">
        <v>46206.0</v>
      </c>
      <c r="E89" s="20">
        <v>0.9375</v>
      </c>
      <c r="F89" s="18" t="s">
        <v>73</v>
      </c>
      <c r="G89" s="18" t="s">
        <v>104</v>
      </c>
      <c r="H89" s="18" t="s">
        <v>105</v>
      </c>
      <c r="I89" s="18">
        <f>IF(OR(LEFT(F89,5)&lt;&gt;"grupo",IFERROR(VLOOKUP(G89,chave!$B$2:$C$49,2,FALSE),"x")="x",IFERROR(VLOOKUP(H89,chave!$B$2:$C$49,2,FALSE),"x")="x"),1,0)</f>
        <v>1</v>
      </c>
      <c r="J89" s="11" t="str">
        <f t="shared" si="3"/>
        <v>03/07 22:30 - 16-avos - 1.º grupo K x 3.º gr D/E/I/J/L</v>
      </c>
      <c r="M89" s="12">
        <v>1.0</v>
      </c>
    </row>
    <row r="90" ht="15.75" customHeight="1">
      <c r="A90" s="5">
        <v>90.0</v>
      </c>
      <c r="B90" s="6" t="str">
        <f t="shared" si="1"/>
        <v>Sat</v>
      </c>
      <c r="C90" s="7">
        <f t="shared" si="2"/>
        <v>46207</v>
      </c>
      <c r="D90" s="7">
        <v>46207.0</v>
      </c>
      <c r="E90" s="21">
        <v>0.5833333333333334</v>
      </c>
      <c r="F90" s="6" t="s">
        <v>106</v>
      </c>
      <c r="G90" s="6" t="s">
        <v>107</v>
      </c>
      <c r="H90" s="6" t="s">
        <v>108</v>
      </c>
      <c r="I90" s="6">
        <f>IF(OR(LEFT(F90,5)&lt;&gt;"grupo",IFERROR(VLOOKUP(G90,chave!$B$2:$C$49,2,FALSE),"x")="x",IFERROR(VLOOKUP(H90,chave!$B$2:$C$49,2,FALSE),"x")="x"),1,0)</f>
        <v>1</v>
      </c>
      <c r="J90" s="11" t="str">
        <f t="shared" si="3"/>
        <v>04/07 14:00 - oitavas - Vencedor 73 x Vencedor 75</v>
      </c>
      <c r="M90" s="12">
        <v>1.0</v>
      </c>
    </row>
    <row r="91" ht="15.75" customHeight="1">
      <c r="A91" s="13">
        <v>89.0</v>
      </c>
      <c r="B91" s="6" t="str">
        <f t="shared" si="1"/>
        <v>Sat</v>
      </c>
      <c r="C91" s="14">
        <f t="shared" si="2"/>
        <v>46207</v>
      </c>
      <c r="D91" s="14">
        <v>46207.0</v>
      </c>
      <c r="E91" s="20">
        <v>0.75</v>
      </c>
      <c r="F91" s="18" t="s">
        <v>106</v>
      </c>
      <c r="G91" s="18" t="s">
        <v>109</v>
      </c>
      <c r="H91" s="18" t="s">
        <v>110</v>
      </c>
      <c r="I91" s="18">
        <f>IF(OR(LEFT(F91,5)&lt;&gt;"grupo",IFERROR(VLOOKUP(G91,chave!$B$2:$C$49,2,FALSE),"x")="x",IFERROR(VLOOKUP(H91,chave!$B$2:$C$49,2,FALSE),"x")="x"),1,0)</f>
        <v>1</v>
      </c>
      <c r="J91" s="11" t="str">
        <f t="shared" si="3"/>
        <v>04/07 18:00 - oitavas - Vencedor 74 x Vencedor 77</v>
      </c>
      <c r="M91" s="12">
        <v>1.0</v>
      </c>
    </row>
    <row r="92" ht="15.75" customHeight="1">
      <c r="A92" s="5">
        <v>91.0</v>
      </c>
      <c r="B92" s="6" t="str">
        <f t="shared" si="1"/>
        <v>Sun</v>
      </c>
      <c r="C92" s="7">
        <f t="shared" si="2"/>
        <v>46208</v>
      </c>
      <c r="D92" s="7">
        <v>46208.0</v>
      </c>
      <c r="E92" s="21">
        <v>0.7083333333333334</v>
      </c>
      <c r="F92" s="6" t="s">
        <v>106</v>
      </c>
      <c r="G92" s="6" t="s">
        <v>111</v>
      </c>
      <c r="H92" s="6" t="s">
        <v>112</v>
      </c>
      <c r="I92" s="6">
        <f>IF(OR(LEFT(F92,5)&lt;&gt;"grupo",IFERROR(VLOOKUP(G92,chave!$B$2:$C$49,2,FALSE),"x")="x",IFERROR(VLOOKUP(H92,chave!$B$2:$C$49,2,FALSE),"x")="x"),1,0)</f>
        <v>1</v>
      </c>
      <c r="J92" s="11" t="str">
        <f t="shared" si="3"/>
        <v>05/07 17:00 - oitavas - Vencedor 76 x Vencedor 78</v>
      </c>
      <c r="M92" s="12">
        <v>1.0</v>
      </c>
    </row>
    <row r="93" ht="15.75" customHeight="1">
      <c r="A93" s="13">
        <v>92.0</v>
      </c>
      <c r="B93" s="6" t="str">
        <f t="shared" si="1"/>
        <v>Sun</v>
      </c>
      <c r="C93" s="14">
        <f t="shared" si="2"/>
        <v>46208</v>
      </c>
      <c r="D93" s="14">
        <v>46208.0</v>
      </c>
      <c r="E93" s="20">
        <v>0.875</v>
      </c>
      <c r="F93" s="18" t="s">
        <v>106</v>
      </c>
      <c r="G93" s="18" t="s">
        <v>113</v>
      </c>
      <c r="H93" s="18" t="s">
        <v>114</v>
      </c>
      <c r="I93" s="18">
        <f>IF(OR(LEFT(F93,5)&lt;&gt;"grupo",IFERROR(VLOOKUP(G93,chave!$B$2:$C$49,2,FALSE),"x")="x",IFERROR(VLOOKUP(H93,chave!$B$2:$C$49,2,FALSE),"x")="x"),1,0)</f>
        <v>1</v>
      </c>
      <c r="J93" s="11" t="str">
        <f t="shared" si="3"/>
        <v>05/07 21:00 - oitavas - Vencedor 79 x Vencedor 80</v>
      </c>
      <c r="M93" s="12">
        <v>1.0</v>
      </c>
    </row>
    <row r="94" ht="15.75" customHeight="1">
      <c r="A94" s="5">
        <v>93.0</v>
      </c>
      <c r="B94" s="6" t="str">
        <f t="shared" si="1"/>
        <v>Mon</v>
      </c>
      <c r="C94" s="7">
        <f t="shared" si="2"/>
        <v>46209</v>
      </c>
      <c r="D94" s="7">
        <v>46209.0</v>
      </c>
      <c r="E94" s="21">
        <v>0.6666666666666666</v>
      </c>
      <c r="F94" s="6" t="s">
        <v>106</v>
      </c>
      <c r="G94" s="6" t="s">
        <v>115</v>
      </c>
      <c r="H94" s="6" t="s">
        <v>116</v>
      </c>
      <c r="I94" s="6">
        <f>IF(OR(LEFT(F94,5)&lt;&gt;"grupo",IFERROR(VLOOKUP(G94,chave!$B$2:$C$49,2,FALSE),"x")="x",IFERROR(VLOOKUP(H94,chave!$B$2:$C$49,2,FALSE),"x")="x"),1,0)</f>
        <v>1</v>
      </c>
      <c r="J94" s="11" t="str">
        <f t="shared" si="3"/>
        <v>06/07 16:00 - oitavas - Vencedor 83 x Vencedor 84</v>
      </c>
      <c r="M94" s="12">
        <v>1.0</v>
      </c>
    </row>
    <row r="95" ht="15.75" customHeight="1">
      <c r="A95" s="13">
        <v>94.0</v>
      </c>
      <c r="B95" s="6" t="str">
        <f t="shared" si="1"/>
        <v>Mon</v>
      </c>
      <c r="C95" s="14">
        <f t="shared" si="2"/>
        <v>46209</v>
      </c>
      <c r="D95" s="14">
        <v>46209.0</v>
      </c>
      <c r="E95" s="20">
        <v>0.875</v>
      </c>
      <c r="F95" s="18" t="s">
        <v>106</v>
      </c>
      <c r="G95" s="18" t="s">
        <v>117</v>
      </c>
      <c r="H95" s="18" t="s">
        <v>118</v>
      </c>
      <c r="I95" s="18">
        <f>IF(OR(LEFT(F95,5)&lt;&gt;"grupo",IFERROR(VLOOKUP(G95,chave!$B$2:$C$49,2,FALSE),"x")="x",IFERROR(VLOOKUP(H95,chave!$B$2:$C$49,2,FALSE),"x")="x"),1,0)</f>
        <v>1</v>
      </c>
      <c r="J95" s="11" t="str">
        <f t="shared" si="3"/>
        <v>06/07 21:00 - oitavas - Vencedor 81 x Vencedor 82</v>
      </c>
      <c r="M95" s="12">
        <v>1.0</v>
      </c>
    </row>
    <row r="96" ht="15.75" customHeight="1">
      <c r="A96" s="5">
        <v>95.0</v>
      </c>
      <c r="B96" s="6" t="str">
        <f t="shared" si="1"/>
        <v>Tue</v>
      </c>
      <c r="C96" s="7">
        <f t="shared" si="2"/>
        <v>46210</v>
      </c>
      <c r="D96" s="7">
        <v>46210.0</v>
      </c>
      <c r="E96" s="21">
        <v>0.5416666666666666</v>
      </c>
      <c r="F96" s="6" t="s">
        <v>106</v>
      </c>
      <c r="G96" s="6" t="s">
        <v>119</v>
      </c>
      <c r="H96" s="6" t="s">
        <v>120</v>
      </c>
      <c r="I96" s="6">
        <f>IF(OR(LEFT(F96,5)&lt;&gt;"grupo",IFERROR(VLOOKUP(G96,chave!$B$2:$C$49,2,FALSE),"x")="x",IFERROR(VLOOKUP(H96,chave!$B$2:$C$49,2,FALSE),"x")="x"),1,0)</f>
        <v>1</v>
      </c>
      <c r="J96" s="11" t="str">
        <f t="shared" si="3"/>
        <v>07/07 13:00 - oitavas - Vencedor 86 x Vencedor 88</v>
      </c>
      <c r="M96" s="12">
        <v>1.0</v>
      </c>
    </row>
    <row r="97" ht="15.75" customHeight="1">
      <c r="A97" s="13">
        <v>96.0</v>
      </c>
      <c r="B97" s="6" t="str">
        <f t="shared" si="1"/>
        <v>Tue</v>
      </c>
      <c r="C97" s="14">
        <f t="shared" si="2"/>
        <v>46210</v>
      </c>
      <c r="D97" s="14">
        <v>46210.0</v>
      </c>
      <c r="E97" s="20">
        <v>0.7083333333333334</v>
      </c>
      <c r="F97" s="18" t="s">
        <v>106</v>
      </c>
      <c r="G97" s="18" t="s">
        <v>121</v>
      </c>
      <c r="H97" s="18" t="s">
        <v>122</v>
      </c>
      <c r="I97" s="18">
        <f>IF(OR(LEFT(F97,5)&lt;&gt;"grupo",IFERROR(VLOOKUP(G97,chave!$B$2:$C$49,2,FALSE),"x")="x",IFERROR(VLOOKUP(H97,chave!$B$2:$C$49,2,FALSE),"x")="x"),1,0)</f>
        <v>1</v>
      </c>
      <c r="J97" s="11" t="str">
        <f t="shared" si="3"/>
        <v>07/07 17:00 - oitavas - Vencedor 85 x Vencedor 87</v>
      </c>
      <c r="M97" s="12">
        <v>1.0</v>
      </c>
    </row>
    <row r="98" ht="15.75" customHeight="1">
      <c r="A98" s="5">
        <v>97.0</v>
      </c>
      <c r="B98" s="6" t="str">
        <f t="shared" si="1"/>
        <v>Thu</v>
      </c>
      <c r="C98" s="7">
        <f t="shared" si="2"/>
        <v>46212</v>
      </c>
      <c r="D98" s="7">
        <v>46212.0</v>
      </c>
      <c r="E98" s="21">
        <v>0.7083333333333334</v>
      </c>
      <c r="F98" s="6" t="s">
        <v>123</v>
      </c>
      <c r="G98" s="6" t="s">
        <v>124</v>
      </c>
      <c r="H98" s="6" t="s">
        <v>125</v>
      </c>
      <c r="I98" s="6">
        <f>IF(OR(LEFT(F98,5)&lt;&gt;"grupo",IFERROR(VLOOKUP(G98,chave!$B$2:$C$49,2,FALSE),"x")="x",IFERROR(VLOOKUP(H98,chave!$B$2:$C$49,2,FALSE),"x")="x"),1,0)</f>
        <v>1</v>
      </c>
      <c r="J98" s="11" t="str">
        <f t="shared" si="3"/>
        <v>09/07 17:00 - quartas - Vencedor 89 x Vencedor 90</v>
      </c>
      <c r="M98" s="12">
        <v>1.0</v>
      </c>
    </row>
    <row r="99" ht="15.75" customHeight="1">
      <c r="A99" s="13">
        <v>98.0</v>
      </c>
      <c r="B99" s="6" t="str">
        <f t="shared" si="1"/>
        <v>Fri</v>
      </c>
      <c r="C99" s="14">
        <f t="shared" si="2"/>
        <v>46213</v>
      </c>
      <c r="D99" s="14">
        <v>46213.0</v>
      </c>
      <c r="E99" s="20">
        <v>0.6666666666666666</v>
      </c>
      <c r="F99" s="18" t="s">
        <v>123</v>
      </c>
      <c r="G99" s="18" t="s">
        <v>126</v>
      </c>
      <c r="H99" s="18" t="s">
        <v>127</v>
      </c>
      <c r="I99" s="18">
        <f>IF(OR(LEFT(F99,5)&lt;&gt;"grupo",IFERROR(VLOOKUP(G99,chave!$B$2:$C$49,2,FALSE),"x")="x",IFERROR(VLOOKUP(H99,chave!$B$2:$C$49,2,FALSE),"x")="x"),1,0)</f>
        <v>1</v>
      </c>
      <c r="J99" s="11" t="str">
        <f t="shared" si="3"/>
        <v>10/07 16:00 - quartas - Vencedor 93 x Vencedor 94</v>
      </c>
      <c r="M99" s="12">
        <v>1.0</v>
      </c>
    </row>
    <row r="100" ht="15.75" customHeight="1">
      <c r="A100" s="5">
        <v>99.0</v>
      </c>
      <c r="B100" s="6" t="str">
        <f t="shared" si="1"/>
        <v>Sat</v>
      </c>
      <c r="C100" s="7">
        <f t="shared" si="2"/>
        <v>46214</v>
      </c>
      <c r="D100" s="7">
        <v>46214.0</v>
      </c>
      <c r="E100" s="21">
        <v>0.75</v>
      </c>
      <c r="F100" s="6" t="s">
        <v>123</v>
      </c>
      <c r="G100" s="6" t="s">
        <v>128</v>
      </c>
      <c r="H100" s="6" t="s">
        <v>129</v>
      </c>
      <c r="I100" s="6">
        <f>IF(OR(LEFT(F100,5)&lt;&gt;"grupo",IFERROR(VLOOKUP(G100,chave!$B$2:$C$49,2,FALSE),"x")="x",IFERROR(VLOOKUP(H100,chave!$B$2:$C$49,2,FALSE),"x")="x"),1,0)</f>
        <v>1</v>
      </c>
      <c r="J100" s="11" t="str">
        <f t="shared" si="3"/>
        <v>11/07 18:00 - quartas - Vencedor 91 x Vencedor 92</v>
      </c>
      <c r="M100" s="12">
        <v>1.0</v>
      </c>
    </row>
    <row r="101" ht="15.75" customHeight="1">
      <c r="A101" s="13">
        <v>100.0</v>
      </c>
      <c r="B101" s="6" t="str">
        <f t="shared" si="1"/>
        <v>Sat</v>
      </c>
      <c r="C101" s="14">
        <f t="shared" si="2"/>
        <v>46214</v>
      </c>
      <c r="D101" s="14">
        <v>46214.0</v>
      </c>
      <c r="E101" s="20">
        <v>0.9166666666666666</v>
      </c>
      <c r="F101" s="18" t="s">
        <v>123</v>
      </c>
      <c r="G101" s="18" t="s">
        <v>130</v>
      </c>
      <c r="H101" s="18" t="s">
        <v>131</v>
      </c>
      <c r="I101" s="18">
        <f>IF(OR(LEFT(F101,5)&lt;&gt;"grupo",IFERROR(VLOOKUP(G101,chave!$B$2:$C$49,2,FALSE),"x")="x",IFERROR(VLOOKUP(H101,chave!$B$2:$C$49,2,FALSE),"x")="x"),1,0)</f>
        <v>1</v>
      </c>
      <c r="J101" s="11" t="str">
        <f t="shared" si="3"/>
        <v>11/07 22:00 - quartas - Vencedor 95 x Vencedor 96</v>
      </c>
      <c r="M101" s="12">
        <v>1.0</v>
      </c>
    </row>
    <row r="102" ht="15.75" customHeight="1">
      <c r="A102" s="5">
        <v>101.0</v>
      </c>
      <c r="B102" s="6" t="str">
        <f t="shared" si="1"/>
        <v>Tue</v>
      </c>
      <c r="C102" s="7">
        <f t="shared" si="2"/>
        <v>46217</v>
      </c>
      <c r="D102" s="7">
        <v>46217.0</v>
      </c>
      <c r="E102" s="21">
        <v>0.6666666666666666</v>
      </c>
      <c r="F102" s="6" t="s">
        <v>132</v>
      </c>
      <c r="G102" s="6" t="s">
        <v>133</v>
      </c>
      <c r="H102" s="6" t="s">
        <v>134</v>
      </c>
      <c r="I102" s="6">
        <f>IF(OR(LEFT(F102,5)&lt;&gt;"grupo",IFERROR(VLOOKUP(G102,chave!$B$2:$C$49,2,FALSE),"x")="x",IFERROR(VLOOKUP(H102,chave!$B$2:$C$49,2,FALSE),"x")="x"),1,0)</f>
        <v>1</v>
      </c>
      <c r="J102" s="11" t="str">
        <f t="shared" si="3"/>
        <v>14/07 16:00 - semifinal - Vencedor 97 x Vencedor 98</v>
      </c>
      <c r="M102" s="12">
        <v>1.0</v>
      </c>
    </row>
    <row r="103" ht="15.75" customHeight="1">
      <c r="A103" s="13">
        <v>102.0</v>
      </c>
      <c r="B103" s="6" t="str">
        <f t="shared" si="1"/>
        <v>Wed</v>
      </c>
      <c r="C103" s="14">
        <f t="shared" si="2"/>
        <v>46218</v>
      </c>
      <c r="D103" s="14">
        <v>46218.0</v>
      </c>
      <c r="E103" s="20">
        <v>0.6666666666666666</v>
      </c>
      <c r="F103" s="18" t="s">
        <v>132</v>
      </c>
      <c r="G103" s="18" t="s">
        <v>135</v>
      </c>
      <c r="H103" s="18" t="s">
        <v>136</v>
      </c>
      <c r="I103" s="18">
        <f>IF(OR(LEFT(F103,5)&lt;&gt;"grupo",IFERROR(VLOOKUP(G103,chave!$B$2:$C$49,2,FALSE),"x")="x",IFERROR(VLOOKUP(H103,chave!$B$2:$C$49,2,FALSE),"x")="x"),1,0)</f>
        <v>1</v>
      </c>
      <c r="J103" s="11" t="str">
        <f t="shared" si="3"/>
        <v>15/07 16:00 - semifinal - Vencedor 99 x Vencedor 100</v>
      </c>
      <c r="M103" s="12">
        <v>1.0</v>
      </c>
    </row>
    <row r="104" ht="15.75" customHeight="1">
      <c r="A104" s="5">
        <v>103.0</v>
      </c>
      <c r="B104" s="6" t="str">
        <f t="shared" si="1"/>
        <v>Sat</v>
      </c>
      <c r="C104" s="7">
        <f t="shared" si="2"/>
        <v>46221</v>
      </c>
      <c r="D104" s="7">
        <v>46221.0</v>
      </c>
      <c r="E104" s="21">
        <v>0.7916666666666666</v>
      </c>
      <c r="F104" s="6" t="s">
        <v>137</v>
      </c>
      <c r="G104" s="6" t="s">
        <v>138</v>
      </c>
      <c r="H104" s="6" t="s">
        <v>139</v>
      </c>
      <c r="I104" s="6">
        <f>IF(OR(LEFT(F104,5)&lt;&gt;"grupo",IFERROR(VLOOKUP(G104,chave!$B$2:$C$49,2,FALSE),"x")="x",IFERROR(VLOOKUP(H104,chave!$B$2:$C$49,2,FALSE),"x")="x"),1,0)</f>
        <v>1</v>
      </c>
      <c r="J104" s="11" t="str">
        <f t="shared" si="3"/>
        <v>18/07 19:00 - 3.o lugar - Perdedor 101 x Perdedor 102</v>
      </c>
      <c r="M104" s="12">
        <v>1.0</v>
      </c>
    </row>
    <row r="105" ht="15.75" customHeight="1">
      <c r="A105" s="13">
        <v>104.0</v>
      </c>
      <c r="B105" s="6" t="str">
        <f t="shared" si="1"/>
        <v>Sun</v>
      </c>
      <c r="C105" s="14">
        <f t="shared" si="2"/>
        <v>46222</v>
      </c>
      <c r="D105" s="14">
        <v>46222.0</v>
      </c>
      <c r="E105" s="20">
        <v>0.6666666666666666</v>
      </c>
      <c r="F105" s="18" t="s">
        <v>140</v>
      </c>
      <c r="G105" s="18" t="s">
        <v>141</v>
      </c>
      <c r="H105" s="18" t="s">
        <v>142</v>
      </c>
      <c r="I105" s="18">
        <f>IF(OR(LEFT(F105,5)&lt;&gt;"grupo",IFERROR(VLOOKUP(G105,chave!$B$2:$C$49,2,FALSE),"x")="x",IFERROR(VLOOKUP(H105,chave!$B$2:$C$49,2,FALSE),"x")="x"),1,0)</f>
        <v>1</v>
      </c>
      <c r="J105" s="11" t="str">
        <f t="shared" si="3"/>
        <v>19/07 16:00 - final - Vencedor 101 x Vencedor 102</v>
      </c>
      <c r="M105" s="12">
        <v>1.0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2" t="s">
        <v>143</v>
      </c>
      <c r="B1" s="12" t="s">
        <v>144</v>
      </c>
      <c r="C1" s="12" t="s">
        <v>145</v>
      </c>
      <c r="D1" s="12" t="s">
        <v>146</v>
      </c>
      <c r="E1" s="12" t="s">
        <v>147</v>
      </c>
    </row>
    <row r="2">
      <c r="A2" s="22">
        <v>1.0</v>
      </c>
      <c r="B2" s="23" t="s">
        <v>148</v>
      </c>
      <c r="C2" s="24">
        <v>46158.339197719906</v>
      </c>
      <c r="D2" s="22">
        <v>2.0</v>
      </c>
      <c r="E2" s="22">
        <v>3.0</v>
      </c>
    </row>
    <row r="3">
      <c r="A3" s="22">
        <v>21.0</v>
      </c>
      <c r="B3" s="23" t="s">
        <v>148</v>
      </c>
      <c r="C3" s="24">
        <v>46158.33797030093</v>
      </c>
      <c r="D3" s="22">
        <v>3.0</v>
      </c>
      <c r="E3" s="22">
        <v>6.0</v>
      </c>
    </row>
    <row r="4">
      <c r="A4" s="22">
        <v>3.0</v>
      </c>
      <c r="B4" s="23" t="s">
        <v>149</v>
      </c>
      <c r="C4" s="24">
        <v>46158.35649152778</v>
      </c>
      <c r="D4" s="22">
        <v>2.0</v>
      </c>
      <c r="E4" s="22">
        <v>2.0</v>
      </c>
    </row>
    <row r="5">
      <c r="A5" s="22">
        <v>3.0</v>
      </c>
      <c r="B5" s="23" t="s">
        <v>150</v>
      </c>
      <c r="C5" s="24">
        <v>46158.356953090275</v>
      </c>
      <c r="D5" s="22">
        <v>0.0</v>
      </c>
      <c r="E5" s="22">
        <v>2.0</v>
      </c>
    </row>
    <row r="6">
      <c r="A6" s="22">
        <v>4.0</v>
      </c>
      <c r="B6" s="23" t="s">
        <v>149</v>
      </c>
      <c r="C6" s="24">
        <v>46158.357064780095</v>
      </c>
      <c r="D6" s="22">
        <v>1.0</v>
      </c>
      <c r="E6" s="22">
        <v>2.0</v>
      </c>
    </row>
    <row r="7">
      <c r="A7" s="22">
        <v>4.0</v>
      </c>
      <c r="B7" s="23" t="s">
        <v>150</v>
      </c>
      <c r="C7" s="24">
        <v>46158.35713386574</v>
      </c>
      <c r="D7" s="22">
        <v>1.0</v>
      </c>
      <c r="E7" s="22">
        <v>2.0</v>
      </c>
    </row>
    <row r="8">
      <c r="A8" s="22">
        <v>3.0</v>
      </c>
      <c r="B8" s="23" t="s">
        <v>148</v>
      </c>
      <c r="C8" s="24">
        <v>46164.58007577546</v>
      </c>
      <c r="D8" s="22">
        <v>0.0</v>
      </c>
      <c r="E8" s="22">
        <v>14.0</v>
      </c>
    </row>
    <row r="9">
      <c r="A9" s="22">
        <v>4.0</v>
      </c>
      <c r="B9" s="23" t="s">
        <v>148</v>
      </c>
      <c r="C9" s="24">
        <v>46164.580104513894</v>
      </c>
      <c r="D9" s="22">
        <v>0.0</v>
      </c>
      <c r="E9" s="22">
        <v>1.0</v>
      </c>
    </row>
    <row r="10">
      <c r="A10" s="22">
        <v>6.0</v>
      </c>
      <c r="B10" s="23" t="s">
        <v>148</v>
      </c>
      <c r="C10" s="24">
        <v>46158.39060770834</v>
      </c>
      <c r="D10" s="22">
        <v>1.0</v>
      </c>
      <c r="E10" s="22">
        <v>0.0</v>
      </c>
    </row>
    <row r="11">
      <c r="A11" s="22">
        <v>9.0</v>
      </c>
      <c r="B11" s="23" t="s">
        <v>148</v>
      </c>
      <c r="C11" s="24">
        <v>46158.39067940973</v>
      </c>
      <c r="D11" s="22">
        <v>1.0</v>
      </c>
      <c r="E11" s="22">
        <v>1.0</v>
      </c>
    </row>
    <row r="12">
      <c r="A12" s="22">
        <v>17.0</v>
      </c>
      <c r="B12" s="23" t="s">
        <v>148</v>
      </c>
      <c r="C12" s="24">
        <v>46158.70020153935</v>
      </c>
      <c r="D12" s="22">
        <v>0.0</v>
      </c>
      <c r="E12" s="22">
        <v>1.0</v>
      </c>
    </row>
    <row r="13">
      <c r="A13" s="22">
        <v>33.0</v>
      </c>
      <c r="B13" s="23" t="s">
        <v>148</v>
      </c>
      <c r="C13" s="24">
        <v>46158.70203201388</v>
      </c>
      <c r="D13" s="22">
        <v>2.0</v>
      </c>
      <c r="E13" s="22">
        <v>1.0</v>
      </c>
    </row>
    <row r="14">
      <c r="A14" s="22">
        <v>102.0</v>
      </c>
      <c r="B14" s="23" t="s">
        <v>148</v>
      </c>
      <c r="C14" s="24">
        <v>46158.80279912037</v>
      </c>
      <c r="D14" s="22">
        <v>1.0</v>
      </c>
      <c r="E14" s="22">
        <v>1.0</v>
      </c>
    </row>
    <row r="15">
      <c r="A15" s="22">
        <v>103.0</v>
      </c>
      <c r="B15" s="23" t="s">
        <v>148</v>
      </c>
      <c r="C15" s="24">
        <v>46158.8029437963</v>
      </c>
      <c r="D15" s="22">
        <v>1.0</v>
      </c>
      <c r="E15" s="22">
        <v>0.0</v>
      </c>
    </row>
    <row r="16">
      <c r="A16" s="22">
        <v>104.0</v>
      </c>
      <c r="B16" s="23" t="s">
        <v>148</v>
      </c>
      <c r="C16" s="24">
        <v>46158.80326701389</v>
      </c>
      <c r="D16" s="22">
        <v>0.0</v>
      </c>
      <c r="E16" s="22">
        <v>0.0</v>
      </c>
    </row>
    <row r="17">
      <c r="A17" s="22">
        <v>10.0</v>
      </c>
      <c r="B17" s="23" t="s">
        <v>148</v>
      </c>
      <c r="C17" s="24">
        <v>46164.58085450232</v>
      </c>
      <c r="D17" s="22">
        <v>1.0</v>
      </c>
      <c r="E17" s="22">
        <v>1.0</v>
      </c>
    </row>
    <row r="18">
      <c r="A18" s="22">
        <v>13.0</v>
      </c>
      <c r="B18" s="23" t="s">
        <v>148</v>
      </c>
      <c r="C18" s="24">
        <v>46164.6057375463</v>
      </c>
      <c r="D18" s="22">
        <v>0.0</v>
      </c>
      <c r="E18" s="2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63"/>
    <col customWidth="1" min="3" max="26" width="8.63"/>
  </cols>
  <sheetData>
    <row r="1">
      <c r="A1" s="25" t="s">
        <v>151</v>
      </c>
      <c r="B1" s="25" t="s">
        <v>152</v>
      </c>
      <c r="C1" s="25" t="s">
        <v>153</v>
      </c>
    </row>
    <row r="2">
      <c r="A2" s="25" t="s">
        <v>13</v>
      </c>
      <c r="B2" s="25" t="s">
        <v>15</v>
      </c>
    </row>
    <row r="3">
      <c r="A3" s="25" t="s">
        <v>13</v>
      </c>
      <c r="B3" s="25" t="s">
        <v>16</v>
      </c>
    </row>
    <row r="4">
      <c r="A4" s="25" t="s">
        <v>13</v>
      </c>
      <c r="B4" s="25" t="s">
        <v>14</v>
      </c>
      <c r="C4" s="25" t="s">
        <v>154</v>
      </c>
    </row>
    <row r="5">
      <c r="A5" s="25" t="s">
        <v>13</v>
      </c>
      <c r="B5" s="25" t="s">
        <v>17</v>
      </c>
    </row>
    <row r="6">
      <c r="A6" s="25" t="s">
        <v>18</v>
      </c>
      <c r="B6" s="25" t="s">
        <v>20</v>
      </c>
    </row>
    <row r="7">
      <c r="A7" s="25" t="s">
        <v>18</v>
      </c>
      <c r="B7" s="25" t="s">
        <v>19</v>
      </c>
      <c r="C7" s="25" t="s">
        <v>154</v>
      </c>
    </row>
    <row r="8">
      <c r="A8" s="25" t="s">
        <v>18</v>
      </c>
      <c r="B8" s="25" t="s">
        <v>24</v>
      </c>
    </row>
    <row r="9">
      <c r="A9" s="25" t="s">
        <v>18</v>
      </c>
      <c r="B9" s="25" t="s">
        <v>25</v>
      </c>
    </row>
    <row r="10">
      <c r="A10" s="25" t="s">
        <v>26</v>
      </c>
      <c r="B10" s="25" t="s">
        <v>27</v>
      </c>
      <c r="C10" s="25" t="s">
        <v>154</v>
      </c>
    </row>
    <row r="11">
      <c r="A11" s="25" t="s">
        <v>26</v>
      </c>
      <c r="B11" s="25" t="s">
        <v>30</v>
      </c>
    </row>
    <row r="12">
      <c r="A12" s="25" t="s">
        <v>26</v>
      </c>
      <c r="B12" s="25" t="s">
        <v>29</v>
      </c>
    </row>
    <row r="13">
      <c r="A13" s="25" t="s">
        <v>26</v>
      </c>
      <c r="B13" s="25" t="s">
        <v>28</v>
      </c>
    </row>
    <row r="14">
      <c r="A14" s="25" t="s">
        <v>21</v>
      </c>
      <c r="B14" s="25" t="s">
        <v>31</v>
      </c>
    </row>
    <row r="15">
      <c r="A15" s="25" t="s">
        <v>21</v>
      </c>
      <c r="B15" s="25" t="s">
        <v>22</v>
      </c>
      <c r="C15" s="25" t="s">
        <v>154</v>
      </c>
    </row>
    <row r="16">
      <c r="A16" s="25" t="s">
        <v>21</v>
      </c>
      <c r="B16" s="25" t="s">
        <v>23</v>
      </c>
    </row>
    <row r="17">
      <c r="A17" s="25" t="s">
        <v>21</v>
      </c>
      <c r="B17" s="25" t="s">
        <v>32</v>
      </c>
    </row>
    <row r="18">
      <c r="A18" s="25" t="s">
        <v>33</v>
      </c>
      <c r="B18" s="25" t="s">
        <v>34</v>
      </c>
      <c r="C18" s="25" t="s">
        <v>154</v>
      </c>
    </row>
    <row r="19">
      <c r="A19" s="25" t="s">
        <v>33</v>
      </c>
      <c r="B19" s="25" t="s">
        <v>39</v>
      </c>
    </row>
    <row r="20">
      <c r="A20" s="25" t="s">
        <v>33</v>
      </c>
      <c r="B20" s="25" t="s">
        <v>35</v>
      </c>
    </row>
    <row r="21" ht="15.75" customHeight="1">
      <c r="A21" s="25" t="s">
        <v>33</v>
      </c>
      <c r="B21" s="25" t="s">
        <v>40</v>
      </c>
    </row>
    <row r="22" ht="15.75" customHeight="1">
      <c r="A22" s="25" t="s">
        <v>36</v>
      </c>
      <c r="B22" s="25" t="s">
        <v>37</v>
      </c>
      <c r="C22" s="25" t="s">
        <v>154</v>
      </c>
    </row>
    <row r="23" ht="15.75" customHeight="1">
      <c r="A23" s="25" t="s">
        <v>36</v>
      </c>
      <c r="B23" s="25" t="s">
        <v>38</v>
      </c>
    </row>
    <row r="24" ht="15.75" customHeight="1">
      <c r="A24" s="25" t="s">
        <v>36</v>
      </c>
      <c r="B24" s="25" t="s">
        <v>41</v>
      </c>
    </row>
    <row r="25" ht="15.75" customHeight="1">
      <c r="A25" s="25" t="s">
        <v>36</v>
      </c>
      <c r="B25" s="25" t="s">
        <v>42</v>
      </c>
    </row>
    <row r="26" ht="15.75" customHeight="1">
      <c r="A26" s="25" t="s">
        <v>46</v>
      </c>
      <c r="B26" s="25" t="s">
        <v>47</v>
      </c>
      <c r="C26" s="25" t="s">
        <v>154</v>
      </c>
    </row>
    <row r="27" ht="15.75" customHeight="1">
      <c r="A27" s="25" t="s">
        <v>46</v>
      </c>
      <c r="B27" s="25" t="s">
        <v>48</v>
      </c>
    </row>
    <row r="28" ht="15.75" customHeight="1">
      <c r="A28" s="25" t="s">
        <v>46</v>
      </c>
      <c r="B28" s="25" t="s">
        <v>51</v>
      </c>
    </row>
    <row r="29" ht="15.75" customHeight="1">
      <c r="A29" s="25" t="s">
        <v>46</v>
      </c>
      <c r="B29" s="25" t="s">
        <v>52</v>
      </c>
    </row>
    <row r="30" ht="15.75" customHeight="1">
      <c r="A30" s="25" t="s">
        <v>43</v>
      </c>
      <c r="B30" s="25" t="s">
        <v>49</v>
      </c>
    </row>
    <row r="31" ht="15.75" customHeight="1">
      <c r="A31" s="25" t="s">
        <v>43</v>
      </c>
      <c r="B31" s="25" t="s">
        <v>45</v>
      </c>
    </row>
    <row r="32" ht="15.75" customHeight="1">
      <c r="A32" s="25" t="s">
        <v>43</v>
      </c>
      <c r="B32" s="25" t="s">
        <v>44</v>
      </c>
      <c r="C32" s="25" t="s">
        <v>154</v>
      </c>
    </row>
    <row r="33" ht="15.75" customHeight="1">
      <c r="A33" s="25" t="s">
        <v>43</v>
      </c>
      <c r="B33" s="25" t="s">
        <v>50</v>
      </c>
    </row>
    <row r="34" ht="15.75" customHeight="1">
      <c r="A34" s="25" t="s">
        <v>53</v>
      </c>
      <c r="B34" s="25" t="s">
        <v>54</v>
      </c>
      <c r="C34" s="25" t="s">
        <v>154</v>
      </c>
    </row>
    <row r="35" ht="15.75" customHeight="1">
      <c r="A35" s="25" t="s">
        <v>53</v>
      </c>
      <c r="B35" s="25" t="s">
        <v>56</v>
      </c>
    </row>
    <row r="36" ht="15.75" customHeight="1">
      <c r="A36" s="25" t="s">
        <v>53</v>
      </c>
      <c r="B36" s="25" t="s">
        <v>57</v>
      </c>
    </row>
    <row r="37" ht="15.75" customHeight="1">
      <c r="A37" s="25" t="s">
        <v>53</v>
      </c>
      <c r="B37" s="25" t="s">
        <v>55</v>
      </c>
    </row>
    <row r="38" ht="15.75" customHeight="1">
      <c r="A38" s="25" t="s">
        <v>58</v>
      </c>
      <c r="B38" s="25" t="s">
        <v>60</v>
      </c>
    </row>
    <row r="39" ht="15.75" customHeight="1">
      <c r="A39" s="25" t="s">
        <v>58</v>
      </c>
      <c r="B39" s="25" t="s">
        <v>59</v>
      </c>
      <c r="C39" s="25" t="s">
        <v>154</v>
      </c>
    </row>
    <row r="40" ht="15.75" customHeight="1">
      <c r="A40" s="25" t="s">
        <v>58</v>
      </c>
      <c r="B40" s="25" t="s">
        <v>61</v>
      </c>
    </row>
    <row r="41" ht="15.75" customHeight="1">
      <c r="A41" s="25" t="s">
        <v>58</v>
      </c>
      <c r="B41" s="25" t="s">
        <v>62</v>
      </c>
    </row>
    <row r="42" ht="15.75" customHeight="1">
      <c r="A42" s="25" t="s">
        <v>63</v>
      </c>
      <c r="B42" s="25" t="s">
        <v>72</v>
      </c>
    </row>
    <row r="43" ht="15.75" customHeight="1">
      <c r="A43" s="25" t="s">
        <v>63</v>
      </c>
      <c r="B43" s="25" t="s">
        <v>65</v>
      </c>
    </row>
    <row r="44" ht="15.75" customHeight="1">
      <c r="A44" s="25" t="s">
        <v>63</v>
      </c>
      <c r="B44" s="25" t="s">
        <v>64</v>
      </c>
      <c r="C44" s="25" t="s">
        <v>154</v>
      </c>
    </row>
    <row r="45" ht="15.75" customHeight="1">
      <c r="A45" s="25" t="s">
        <v>63</v>
      </c>
      <c r="B45" s="25" t="s">
        <v>71</v>
      </c>
    </row>
    <row r="46" ht="15.75" customHeight="1">
      <c r="A46" s="25" t="s">
        <v>66</v>
      </c>
      <c r="B46" s="25" t="s">
        <v>68</v>
      </c>
    </row>
    <row r="47" ht="15.75" customHeight="1">
      <c r="A47" s="25" t="s">
        <v>66</v>
      </c>
      <c r="B47" s="25" t="s">
        <v>69</v>
      </c>
    </row>
    <row r="48" ht="15.75" customHeight="1">
      <c r="A48" s="25" t="s">
        <v>66</v>
      </c>
      <c r="B48" s="25" t="s">
        <v>67</v>
      </c>
      <c r="C48" s="25" t="s">
        <v>154</v>
      </c>
    </row>
    <row r="49" ht="15.75" customHeight="1">
      <c r="A49" s="25" t="s">
        <v>66</v>
      </c>
      <c r="B49" s="25" t="s">
        <v>70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155</v>
      </c>
      <c r="B1" s="12" t="s">
        <v>5</v>
      </c>
      <c r="C1" s="12" t="s">
        <v>156</v>
      </c>
      <c r="D1" s="12"/>
      <c r="E1" s="12"/>
    </row>
    <row r="2">
      <c r="A2" s="26" t="s">
        <v>13</v>
      </c>
      <c r="B2" s="12" t="str">
        <f t="shared" ref="B2:B19" si="1">if(left(A2,5)="grupo","grupos",A2)</f>
        <v>grupos</v>
      </c>
      <c r="C2" s="12">
        <v>1.0</v>
      </c>
      <c r="D2" s="12"/>
      <c r="E2" s="12"/>
    </row>
    <row r="3">
      <c r="A3" s="26" t="s">
        <v>18</v>
      </c>
      <c r="B3" s="12" t="str">
        <f t="shared" si="1"/>
        <v>grupos</v>
      </c>
      <c r="C3" s="12">
        <v>1.0</v>
      </c>
      <c r="D3" s="12"/>
      <c r="E3" s="12"/>
    </row>
    <row r="4">
      <c r="A4" s="26" t="s">
        <v>21</v>
      </c>
      <c r="B4" s="12" t="str">
        <f t="shared" si="1"/>
        <v>grupos</v>
      </c>
      <c r="C4" s="12">
        <v>1.0</v>
      </c>
      <c r="D4" s="12"/>
      <c r="E4" s="12"/>
    </row>
    <row r="5">
      <c r="A5" s="26" t="s">
        <v>26</v>
      </c>
      <c r="B5" s="12" t="str">
        <f t="shared" si="1"/>
        <v>grupos</v>
      </c>
      <c r="C5" s="12">
        <v>1.0</v>
      </c>
      <c r="D5" s="12"/>
      <c r="E5" s="12"/>
    </row>
    <row r="6">
      <c r="A6" s="26" t="s">
        <v>33</v>
      </c>
      <c r="B6" s="12" t="str">
        <f t="shared" si="1"/>
        <v>grupos</v>
      </c>
      <c r="C6" s="12">
        <v>1.0</v>
      </c>
      <c r="D6" s="12"/>
      <c r="E6" s="12"/>
    </row>
    <row r="7">
      <c r="A7" s="26" t="s">
        <v>36</v>
      </c>
      <c r="B7" s="12" t="str">
        <f t="shared" si="1"/>
        <v>grupos</v>
      </c>
      <c r="C7" s="12">
        <v>1.0</v>
      </c>
      <c r="D7" s="12"/>
      <c r="E7" s="12"/>
    </row>
    <row r="8">
      <c r="A8" s="26" t="s">
        <v>43</v>
      </c>
      <c r="B8" s="12" t="str">
        <f t="shared" si="1"/>
        <v>grupos</v>
      </c>
      <c r="C8" s="12">
        <v>1.0</v>
      </c>
      <c r="D8" s="12"/>
      <c r="E8" s="12"/>
    </row>
    <row r="9">
      <c r="A9" s="26" t="s">
        <v>46</v>
      </c>
      <c r="B9" s="12" t="str">
        <f t="shared" si="1"/>
        <v>grupos</v>
      </c>
      <c r="C9" s="12">
        <v>1.0</v>
      </c>
      <c r="D9" s="12"/>
      <c r="E9" s="12"/>
    </row>
    <row r="10">
      <c r="A10" s="26" t="s">
        <v>53</v>
      </c>
      <c r="B10" s="12" t="str">
        <f t="shared" si="1"/>
        <v>grupos</v>
      </c>
      <c r="C10" s="12">
        <v>1.0</v>
      </c>
      <c r="D10" s="12"/>
      <c r="E10" s="12"/>
    </row>
    <row r="11">
      <c r="A11" s="26" t="s">
        <v>58</v>
      </c>
      <c r="B11" s="12" t="str">
        <f t="shared" si="1"/>
        <v>grupos</v>
      </c>
      <c r="C11" s="12">
        <v>1.0</v>
      </c>
      <c r="D11" s="12"/>
      <c r="E11" s="12"/>
    </row>
    <row r="12">
      <c r="A12" s="26" t="s">
        <v>63</v>
      </c>
      <c r="B12" s="12" t="str">
        <f t="shared" si="1"/>
        <v>grupos</v>
      </c>
      <c r="C12" s="12">
        <v>1.0</v>
      </c>
      <c r="D12" s="12"/>
      <c r="E12" s="12"/>
    </row>
    <row r="13">
      <c r="A13" s="26" t="s">
        <v>66</v>
      </c>
      <c r="B13" s="12" t="str">
        <f t="shared" si="1"/>
        <v>grupos</v>
      </c>
      <c r="C13" s="12">
        <v>1.0</v>
      </c>
      <c r="D13" s="12"/>
      <c r="E13" s="12"/>
    </row>
    <row r="14">
      <c r="A14" s="26" t="s">
        <v>73</v>
      </c>
      <c r="B14" s="12" t="str">
        <f t="shared" si="1"/>
        <v>16-avos</v>
      </c>
      <c r="C14" s="12">
        <v>2.0</v>
      </c>
      <c r="D14" s="12"/>
      <c r="E14" s="12"/>
    </row>
    <row r="15">
      <c r="A15" s="26" t="s">
        <v>106</v>
      </c>
      <c r="B15" s="12" t="str">
        <f t="shared" si="1"/>
        <v>oitavas</v>
      </c>
      <c r="C15" s="12">
        <v>2.5</v>
      </c>
      <c r="D15" s="12"/>
      <c r="E15" s="12"/>
    </row>
    <row r="16">
      <c r="A16" s="26" t="s">
        <v>123</v>
      </c>
      <c r="B16" s="12" t="str">
        <f t="shared" si="1"/>
        <v>quartas</v>
      </c>
      <c r="C16" s="12">
        <v>3.0</v>
      </c>
      <c r="D16" s="12"/>
      <c r="E16" s="12"/>
    </row>
    <row r="17">
      <c r="A17" s="26" t="s">
        <v>132</v>
      </c>
      <c r="B17" s="12" t="str">
        <f t="shared" si="1"/>
        <v>semifinal</v>
      </c>
      <c r="C17" s="12">
        <v>3.5</v>
      </c>
      <c r="D17" s="12"/>
      <c r="E17" s="12"/>
    </row>
    <row r="18">
      <c r="A18" s="26" t="s">
        <v>137</v>
      </c>
      <c r="B18" s="12" t="str">
        <f t="shared" si="1"/>
        <v>3.o lugar</v>
      </c>
      <c r="C18" s="12">
        <v>2.0</v>
      </c>
      <c r="D18" s="12"/>
      <c r="E18" s="12"/>
    </row>
    <row r="19">
      <c r="A19" s="26" t="s">
        <v>140</v>
      </c>
      <c r="B19" s="12" t="str">
        <f t="shared" si="1"/>
        <v>final</v>
      </c>
      <c r="C19" s="12">
        <v>5.0</v>
      </c>
      <c r="D19" s="12"/>
      <c r="E19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tr">
        <f>Palpites!A1</f>
        <v>jogo</v>
      </c>
      <c r="B1" s="25" t="str">
        <f>Palpites!B1</f>
        <v>usuario</v>
      </c>
      <c r="C1" s="25" t="str">
        <f>Palpites!C1</f>
        <v>timestamp</v>
      </c>
      <c r="D1" s="25" t="str">
        <f>Palpites!D1</f>
        <v>gols_selecao1</v>
      </c>
      <c r="E1" s="25" t="str">
        <f>Palpites!E1</f>
        <v>gols_selecao2</v>
      </c>
      <c r="F1" s="4" t="s">
        <v>10</v>
      </c>
      <c r="G1" s="4" t="s">
        <v>11</v>
      </c>
      <c r="H1" s="12" t="s">
        <v>157</v>
      </c>
      <c r="I1" s="12" t="s">
        <v>156</v>
      </c>
      <c r="J1" s="12" t="s">
        <v>158</v>
      </c>
      <c r="K1" s="12" t="s">
        <v>159</v>
      </c>
      <c r="L1" s="12" t="s">
        <v>160</v>
      </c>
      <c r="M1" s="12" t="s">
        <v>161</v>
      </c>
    </row>
    <row r="2">
      <c r="A2" s="25">
        <f>Palpites!A2</f>
        <v>1</v>
      </c>
      <c r="B2" s="25" t="str">
        <f>Palpites!B2</f>
        <v>jbbinder@gmail.com</v>
      </c>
      <c r="C2" s="27">
        <f>Palpites!C2</f>
        <v>46158.3392</v>
      </c>
      <c r="D2" s="25">
        <f>Palpites!D2</f>
        <v>2</v>
      </c>
      <c r="E2" s="25">
        <f>Palpites!E2</f>
        <v>3</v>
      </c>
      <c r="F2" s="25">
        <f>VLOOKUP(A2,tabela!$A$2:$L$105,11,false)</f>
        <v>9</v>
      </c>
      <c r="G2" s="25">
        <f>VLOOKUP(A2,tabela!$A$2:$L$105,12,false)</f>
        <v>9</v>
      </c>
      <c r="H2" s="25" t="str">
        <f>vlookup(vlookup(A2,tabela!$A$2:$F$105,6,false),multipl!$A$2:$C$19,2,false)</f>
        <v>grupos</v>
      </c>
      <c r="I2" s="25">
        <f>vlookup(vlookup(A2,tabela!$A$2:$F$105,6,false),multipl!$A$2:$C$19,3,false)</f>
        <v>1</v>
      </c>
      <c r="J2" s="28">
        <f t="shared" ref="J2:J18" si="1">if(and(isnumber(F2),isnumber(G2)), if(sign(D2-E2)=sign(F2-G2),I2,0),0)</f>
        <v>0</v>
      </c>
      <c r="K2" s="28">
        <f t="shared" ref="K2:K18" si="2">if(and(isnumber(F2),isnumber(G2)),if(and(D2=F2,E2=G2),I2,0)*0.5,0)</f>
        <v>0</v>
      </c>
      <c r="L2" s="28">
        <f t="shared" ref="L2:L18" si="3">if(and(isnumber(F2),isnumber(G2)),if(D2+E2=F2+G2,I2,0)*0.5,0)</f>
        <v>0</v>
      </c>
      <c r="M2" s="28">
        <f t="shared" ref="M2:M18" si="4">sum(J2:L2)</f>
        <v>0</v>
      </c>
    </row>
    <row r="3">
      <c r="A3" s="25">
        <f>Palpites!A3</f>
        <v>21</v>
      </c>
      <c r="B3" s="25" t="str">
        <f>Palpites!B3</f>
        <v>jbbinder@gmail.com</v>
      </c>
      <c r="C3" s="27">
        <f>Palpites!C3</f>
        <v>46158.33797</v>
      </c>
      <c r="D3" s="25">
        <f>Palpites!D3</f>
        <v>3</v>
      </c>
      <c r="E3" s="25">
        <f>Palpites!E3</f>
        <v>6</v>
      </c>
      <c r="F3" s="25" t="str">
        <f>VLOOKUP(A3,tabela!$A$2:$L$105,11,false)</f>
        <v/>
      </c>
      <c r="G3" s="25" t="str">
        <f>VLOOKUP(A3,tabela!$A$2:$L$105,12,false)</f>
        <v/>
      </c>
      <c r="H3" s="25" t="str">
        <f>vlookup(vlookup(A3,tabela!$A$2:$F$105,6,false),multipl!$A$2:$C$19,2,false)</f>
        <v>grupos</v>
      </c>
      <c r="I3" s="25">
        <f>vlookup(vlookup(A3,tabela!$A$2:$F$105,6,false),multipl!$A$2:$C$19,3,false)</f>
        <v>1</v>
      </c>
      <c r="J3" s="28">
        <f t="shared" si="1"/>
        <v>0</v>
      </c>
      <c r="K3" s="28">
        <f t="shared" si="2"/>
        <v>0</v>
      </c>
      <c r="L3" s="28">
        <f t="shared" si="3"/>
        <v>0</v>
      </c>
      <c r="M3" s="28">
        <f t="shared" si="4"/>
        <v>0</v>
      </c>
    </row>
    <row r="4">
      <c r="A4" s="25">
        <f>Palpites!A4</f>
        <v>3</v>
      </c>
      <c r="B4" s="25" t="str">
        <f>Palpites!B4</f>
        <v>juliano3142@gmail.com</v>
      </c>
      <c r="C4" s="27">
        <f>Palpites!C4</f>
        <v>46158.35649</v>
      </c>
      <c r="D4" s="25">
        <f>Palpites!D4</f>
        <v>2</v>
      </c>
      <c r="E4" s="25">
        <f>Palpites!E4</f>
        <v>2</v>
      </c>
      <c r="F4" s="25">
        <f>VLOOKUP(A4,tabela!$A$2:$L$105,11,false)</f>
        <v>1</v>
      </c>
      <c r="G4" s="25">
        <f>VLOOKUP(A4,tabela!$A$2:$L$105,12,false)</f>
        <v>2</v>
      </c>
      <c r="H4" s="25" t="str">
        <f>vlookup(vlookup(A4,tabela!$A$2:$F$105,6,false),multipl!$A$2:$C$19,2,false)</f>
        <v>grupos</v>
      </c>
      <c r="I4" s="25">
        <f>vlookup(vlookup(A4,tabela!$A$2:$F$105,6,false),multipl!$A$2:$C$19,3,false)</f>
        <v>1</v>
      </c>
      <c r="J4" s="28">
        <f t="shared" si="1"/>
        <v>0</v>
      </c>
      <c r="K4" s="28">
        <f t="shared" si="2"/>
        <v>0</v>
      </c>
      <c r="L4" s="28">
        <f t="shared" si="3"/>
        <v>0</v>
      </c>
      <c r="M4" s="28">
        <f t="shared" si="4"/>
        <v>0</v>
      </c>
    </row>
    <row r="5">
      <c r="A5" s="25">
        <f>Palpites!A5</f>
        <v>3</v>
      </c>
      <c r="B5" s="25" t="str">
        <f>Palpites!B5</f>
        <v>vanialuciane@gmail.com</v>
      </c>
      <c r="C5" s="27">
        <f>Palpites!C5</f>
        <v>46158.35695</v>
      </c>
      <c r="D5" s="25">
        <f>Palpites!D5</f>
        <v>0</v>
      </c>
      <c r="E5" s="25">
        <f>Palpites!E5</f>
        <v>2</v>
      </c>
      <c r="F5" s="25">
        <f>VLOOKUP(A5,tabela!$A$2:$L$105,11,false)</f>
        <v>1</v>
      </c>
      <c r="G5" s="25">
        <f>VLOOKUP(A5,tabela!$A$2:$L$105,12,false)</f>
        <v>2</v>
      </c>
      <c r="H5" s="25" t="str">
        <f>vlookup(vlookup(A5,tabela!$A$2:$F$105,6,false),multipl!$A$2:$C$19,2,false)</f>
        <v>grupos</v>
      </c>
      <c r="I5" s="25">
        <f>vlookup(vlookup(A5,tabela!$A$2:$F$105,6,false),multipl!$A$2:$C$19,3,false)</f>
        <v>1</v>
      </c>
      <c r="J5" s="28">
        <f t="shared" si="1"/>
        <v>1</v>
      </c>
      <c r="K5" s="28">
        <f t="shared" si="2"/>
        <v>0</v>
      </c>
      <c r="L5" s="28">
        <f t="shared" si="3"/>
        <v>0</v>
      </c>
      <c r="M5" s="28">
        <f t="shared" si="4"/>
        <v>1</v>
      </c>
    </row>
    <row r="6">
      <c r="A6" s="25">
        <f>Palpites!A6</f>
        <v>4</v>
      </c>
      <c r="B6" s="25" t="str">
        <f>Palpites!B6</f>
        <v>juliano3142@gmail.com</v>
      </c>
      <c r="C6" s="27">
        <f>Palpites!C6</f>
        <v>46158.35706</v>
      </c>
      <c r="D6" s="25">
        <f>Palpites!D6</f>
        <v>1</v>
      </c>
      <c r="E6" s="25">
        <f>Palpites!E6</f>
        <v>2</v>
      </c>
      <c r="F6" s="25">
        <f>VLOOKUP(A6,tabela!$A$2:$L$105,11,false)</f>
        <v>0</v>
      </c>
      <c r="G6" s="25" t="str">
        <f>VLOOKUP(A6,tabela!$A$2:$L$105,12,false)</f>
        <v/>
      </c>
      <c r="H6" s="25" t="str">
        <f>vlookup(vlookup(A6,tabela!$A$2:$F$105,6,false),multipl!$A$2:$C$19,2,false)</f>
        <v>grupos</v>
      </c>
      <c r="I6" s="25">
        <f>vlookup(vlookup(A6,tabela!$A$2:$F$105,6,false),multipl!$A$2:$C$19,3,false)</f>
        <v>1</v>
      </c>
      <c r="J6" s="28">
        <f t="shared" si="1"/>
        <v>0</v>
      </c>
      <c r="K6" s="28">
        <f t="shared" si="2"/>
        <v>0</v>
      </c>
      <c r="L6" s="28">
        <f t="shared" si="3"/>
        <v>0</v>
      </c>
      <c r="M6" s="28">
        <f t="shared" si="4"/>
        <v>0</v>
      </c>
    </row>
    <row r="7">
      <c r="A7" s="25">
        <f>Palpites!A7</f>
        <v>4</v>
      </c>
      <c r="B7" s="25" t="str">
        <f>Palpites!B7</f>
        <v>vanialuciane@gmail.com</v>
      </c>
      <c r="C7" s="27">
        <f>Palpites!C7</f>
        <v>46158.35713</v>
      </c>
      <c r="D7" s="25">
        <f>Palpites!D7</f>
        <v>1</v>
      </c>
      <c r="E7" s="25">
        <f>Palpites!E7</f>
        <v>2</v>
      </c>
      <c r="F7" s="25">
        <f>VLOOKUP(A7,tabela!$A$2:$L$105,11,false)</f>
        <v>0</v>
      </c>
      <c r="G7" s="25" t="str">
        <f>VLOOKUP(A7,tabela!$A$2:$L$105,12,false)</f>
        <v/>
      </c>
      <c r="H7" s="25" t="str">
        <f>vlookup(vlookup(A7,tabela!$A$2:$F$105,6,false),multipl!$A$2:$C$19,2,false)</f>
        <v>grupos</v>
      </c>
      <c r="I7" s="25">
        <f>vlookup(vlookup(A7,tabela!$A$2:$F$105,6,false),multipl!$A$2:$C$19,3,false)</f>
        <v>1</v>
      </c>
      <c r="J7" s="28">
        <f t="shared" si="1"/>
        <v>0</v>
      </c>
      <c r="K7" s="28">
        <f t="shared" si="2"/>
        <v>0</v>
      </c>
      <c r="L7" s="28">
        <f t="shared" si="3"/>
        <v>0</v>
      </c>
      <c r="M7" s="28">
        <f t="shared" si="4"/>
        <v>0</v>
      </c>
    </row>
    <row r="8">
      <c r="A8" s="25">
        <f>Palpites!A8</f>
        <v>3</v>
      </c>
      <c r="B8" s="25" t="str">
        <f>Palpites!B8</f>
        <v>jbbinder@gmail.com</v>
      </c>
      <c r="C8" s="27">
        <f>Palpites!C8</f>
        <v>46164.58008</v>
      </c>
      <c r="D8" s="25">
        <f>Palpites!D8</f>
        <v>0</v>
      </c>
      <c r="E8" s="25">
        <f>Palpites!E8</f>
        <v>14</v>
      </c>
      <c r="F8" s="25">
        <f>VLOOKUP(A8,tabela!$A$2:$L$105,11,false)</f>
        <v>1</v>
      </c>
      <c r="G8" s="25">
        <f>VLOOKUP(A8,tabela!$A$2:$L$105,12,false)</f>
        <v>2</v>
      </c>
      <c r="H8" s="25" t="str">
        <f>vlookup(vlookup(A8,tabela!$A$2:$F$105,6,false),multipl!$A$2:$C$19,2,false)</f>
        <v>grupos</v>
      </c>
      <c r="I8" s="25">
        <f>vlookup(vlookup(A8,tabela!$A$2:$F$105,6,false),multipl!$A$2:$C$19,3,false)</f>
        <v>1</v>
      </c>
      <c r="J8" s="28">
        <f t="shared" si="1"/>
        <v>1</v>
      </c>
      <c r="K8" s="28">
        <f t="shared" si="2"/>
        <v>0</v>
      </c>
      <c r="L8" s="28">
        <f t="shared" si="3"/>
        <v>0</v>
      </c>
      <c r="M8" s="28">
        <f t="shared" si="4"/>
        <v>1</v>
      </c>
    </row>
    <row r="9">
      <c r="A9" s="25">
        <f>Palpites!A9</f>
        <v>4</v>
      </c>
      <c r="B9" s="25" t="str">
        <f>Palpites!B9</f>
        <v>jbbinder@gmail.com</v>
      </c>
      <c r="C9" s="27">
        <f>Palpites!C9</f>
        <v>46164.5801</v>
      </c>
      <c r="D9" s="25">
        <f>Palpites!D9</f>
        <v>0</v>
      </c>
      <c r="E9" s="25">
        <f>Palpites!E9</f>
        <v>1</v>
      </c>
      <c r="F9" s="25">
        <f>VLOOKUP(A9,tabela!$A$2:$L$105,11,false)</f>
        <v>0</v>
      </c>
      <c r="G9" s="25" t="str">
        <f>VLOOKUP(A9,tabela!$A$2:$L$105,12,false)</f>
        <v/>
      </c>
      <c r="H9" s="25" t="str">
        <f>vlookup(vlookup(A9,tabela!$A$2:$F$105,6,false),multipl!$A$2:$C$19,2,false)</f>
        <v>grupos</v>
      </c>
      <c r="I9" s="25">
        <f>vlookup(vlookup(A9,tabela!$A$2:$F$105,6,false),multipl!$A$2:$C$19,3,false)</f>
        <v>1</v>
      </c>
      <c r="J9" s="28">
        <f t="shared" si="1"/>
        <v>0</v>
      </c>
      <c r="K9" s="28">
        <f t="shared" si="2"/>
        <v>0</v>
      </c>
      <c r="L9" s="28">
        <f t="shared" si="3"/>
        <v>0</v>
      </c>
      <c r="M9" s="28">
        <f t="shared" si="4"/>
        <v>0</v>
      </c>
    </row>
    <row r="10">
      <c r="A10" s="25">
        <f>Palpites!A10</f>
        <v>6</v>
      </c>
      <c r="B10" s="25" t="str">
        <f>Palpites!B10</f>
        <v>jbbinder@gmail.com</v>
      </c>
      <c r="C10" s="27">
        <f>Palpites!C10</f>
        <v>46158.39061</v>
      </c>
      <c r="D10" s="25">
        <f>Palpites!D10</f>
        <v>1</v>
      </c>
      <c r="E10" s="25">
        <f>Palpites!E10</f>
        <v>0</v>
      </c>
      <c r="F10" s="25">
        <f>VLOOKUP(A10,tabela!$A$2:$L$105,11,false)</f>
        <v>0</v>
      </c>
      <c r="G10" s="25" t="str">
        <f>VLOOKUP(A10,tabela!$A$2:$L$105,12,false)</f>
        <v/>
      </c>
      <c r="H10" s="25" t="str">
        <f>vlookup(vlookup(A10,tabela!$A$2:$F$105,6,false),multipl!$A$2:$C$19,2,false)</f>
        <v>grupos</v>
      </c>
      <c r="I10" s="25">
        <f>vlookup(vlookup(A10,tabela!$A$2:$F$105,6,false),multipl!$A$2:$C$19,3,false)</f>
        <v>1</v>
      </c>
      <c r="J10" s="28">
        <f t="shared" si="1"/>
        <v>0</v>
      </c>
      <c r="K10" s="28">
        <f t="shared" si="2"/>
        <v>0</v>
      </c>
      <c r="L10" s="28">
        <f t="shared" si="3"/>
        <v>0</v>
      </c>
      <c r="M10" s="28">
        <f t="shared" si="4"/>
        <v>0</v>
      </c>
    </row>
    <row r="11">
      <c r="A11" s="25">
        <f>Palpites!A11</f>
        <v>9</v>
      </c>
      <c r="B11" s="25" t="str">
        <f>Palpites!B11</f>
        <v>jbbinder@gmail.com</v>
      </c>
      <c r="C11" s="27">
        <f>Palpites!C11</f>
        <v>46158.39068</v>
      </c>
      <c r="D11" s="25">
        <f>Palpites!D11</f>
        <v>1</v>
      </c>
      <c r="E11" s="25">
        <f>Palpites!E11</f>
        <v>1</v>
      </c>
      <c r="F11" s="25">
        <f>VLOOKUP(A11,tabela!$A$2:$L$105,11,false)</f>
        <v>0</v>
      </c>
      <c r="G11" s="25" t="str">
        <f>VLOOKUP(A11,tabela!$A$2:$L$105,12,false)</f>
        <v/>
      </c>
      <c r="H11" s="25" t="str">
        <f>vlookup(vlookup(A11,tabela!$A$2:$F$105,6,false),multipl!$A$2:$C$19,2,false)</f>
        <v>grupos</v>
      </c>
      <c r="I11" s="25">
        <f>vlookup(vlookup(A11,tabela!$A$2:$F$105,6,false),multipl!$A$2:$C$19,3,false)</f>
        <v>1</v>
      </c>
      <c r="J11" s="28">
        <f t="shared" si="1"/>
        <v>0</v>
      </c>
      <c r="K11" s="28">
        <f t="shared" si="2"/>
        <v>0</v>
      </c>
      <c r="L11" s="28">
        <f t="shared" si="3"/>
        <v>0</v>
      </c>
      <c r="M11" s="28">
        <f t="shared" si="4"/>
        <v>0</v>
      </c>
    </row>
    <row r="12">
      <c r="A12" s="25">
        <f>Palpites!A12</f>
        <v>17</v>
      </c>
      <c r="B12" s="25" t="str">
        <f>Palpites!B12</f>
        <v>jbbinder@gmail.com</v>
      </c>
      <c r="C12" s="27">
        <f>Palpites!C12</f>
        <v>46158.7002</v>
      </c>
      <c r="D12" s="25">
        <f>Palpites!D12</f>
        <v>0</v>
      </c>
      <c r="E12" s="25">
        <f>Palpites!E12</f>
        <v>1</v>
      </c>
      <c r="F12" s="25" t="str">
        <f>VLOOKUP(A12,tabela!$A$2:$L$105,11,false)</f>
        <v/>
      </c>
      <c r="G12" s="25" t="str">
        <f>VLOOKUP(A12,tabela!$A$2:$L$105,12,false)</f>
        <v/>
      </c>
      <c r="H12" s="25" t="str">
        <f>vlookup(vlookup(A12,tabela!$A$2:$F$105,6,false),multipl!$A$2:$C$19,2,false)</f>
        <v>grupos</v>
      </c>
      <c r="I12" s="25">
        <f>vlookup(vlookup(A12,tabela!$A$2:$F$105,6,false),multipl!$A$2:$C$19,3,false)</f>
        <v>1</v>
      </c>
      <c r="J12" s="28">
        <f t="shared" si="1"/>
        <v>0</v>
      </c>
      <c r="K12" s="28">
        <f t="shared" si="2"/>
        <v>0</v>
      </c>
      <c r="L12" s="28">
        <f t="shared" si="3"/>
        <v>0</v>
      </c>
      <c r="M12" s="28">
        <f t="shared" si="4"/>
        <v>0</v>
      </c>
    </row>
    <row r="13">
      <c r="A13" s="25">
        <f>Palpites!A13</f>
        <v>33</v>
      </c>
      <c r="B13" s="25" t="str">
        <f>Palpites!B13</f>
        <v>jbbinder@gmail.com</v>
      </c>
      <c r="C13" s="27">
        <f>Palpites!C13</f>
        <v>46158.70203</v>
      </c>
      <c r="D13" s="25">
        <f>Palpites!D13</f>
        <v>2</v>
      </c>
      <c r="E13" s="25">
        <f>Palpites!E13</f>
        <v>1</v>
      </c>
      <c r="F13" s="25" t="str">
        <f>VLOOKUP(A13,tabela!$A$2:$L$105,11,false)</f>
        <v/>
      </c>
      <c r="G13" s="25" t="str">
        <f>VLOOKUP(A13,tabela!$A$2:$L$105,12,false)</f>
        <v/>
      </c>
      <c r="H13" s="25" t="str">
        <f>vlookup(vlookup(A13,tabela!$A$2:$F$105,6,false),multipl!$A$2:$C$19,2,false)</f>
        <v>grupos</v>
      </c>
      <c r="I13" s="25">
        <f>vlookup(vlookup(A13,tabela!$A$2:$F$105,6,false),multipl!$A$2:$C$19,3,false)</f>
        <v>1</v>
      </c>
      <c r="J13" s="28">
        <f t="shared" si="1"/>
        <v>0</v>
      </c>
      <c r="K13" s="28">
        <f t="shared" si="2"/>
        <v>0</v>
      </c>
      <c r="L13" s="28">
        <f t="shared" si="3"/>
        <v>0</v>
      </c>
      <c r="M13" s="28">
        <f t="shared" si="4"/>
        <v>0</v>
      </c>
    </row>
    <row r="14">
      <c r="A14" s="25">
        <f>Palpites!A14</f>
        <v>102</v>
      </c>
      <c r="B14" s="25" t="str">
        <f>Palpites!B14</f>
        <v>jbbinder@gmail.com</v>
      </c>
      <c r="C14" s="27">
        <f>Palpites!C14</f>
        <v>46158.8028</v>
      </c>
      <c r="D14" s="25">
        <f>Palpites!D14</f>
        <v>1</v>
      </c>
      <c r="E14" s="25">
        <f>Palpites!E14</f>
        <v>1</v>
      </c>
      <c r="F14" s="25" t="str">
        <f>VLOOKUP(A14,tabela!$A$2:$L$105,11,false)</f>
        <v/>
      </c>
      <c r="G14" s="25" t="str">
        <f>VLOOKUP(A14,tabela!$A$2:$L$105,12,false)</f>
        <v/>
      </c>
      <c r="H14" s="25" t="str">
        <f>vlookup(vlookup(A14,tabela!$A$2:$F$105,6,false),multipl!$A$2:$C$19,2,false)</f>
        <v>semifinal</v>
      </c>
      <c r="I14" s="25">
        <f>vlookup(vlookup(A14,tabela!$A$2:$F$105,6,false),multipl!$A$2:$C$19,3,false)</f>
        <v>3.5</v>
      </c>
      <c r="J14" s="28">
        <f t="shared" si="1"/>
        <v>0</v>
      </c>
      <c r="K14" s="28">
        <f t="shared" si="2"/>
        <v>0</v>
      </c>
      <c r="L14" s="28">
        <f t="shared" si="3"/>
        <v>0</v>
      </c>
      <c r="M14" s="28">
        <f t="shared" si="4"/>
        <v>0</v>
      </c>
    </row>
    <row r="15">
      <c r="A15" s="25">
        <f>Palpites!A15</f>
        <v>103</v>
      </c>
      <c r="B15" s="25" t="str">
        <f>Palpites!B15</f>
        <v>jbbinder@gmail.com</v>
      </c>
      <c r="C15" s="27">
        <f>Palpites!C15</f>
        <v>46158.80294</v>
      </c>
      <c r="D15" s="25">
        <f>Palpites!D15</f>
        <v>1</v>
      </c>
      <c r="E15" s="25">
        <f>Palpites!E15</f>
        <v>0</v>
      </c>
      <c r="F15" s="25" t="str">
        <f>VLOOKUP(A15,tabela!$A$2:$L$105,11,false)</f>
        <v/>
      </c>
      <c r="G15" s="25" t="str">
        <f>VLOOKUP(A15,tabela!$A$2:$L$105,12,false)</f>
        <v/>
      </c>
      <c r="H15" s="25" t="str">
        <f>vlookup(vlookup(A15,tabela!$A$2:$F$105,6,false),multipl!$A$2:$C$19,2,false)</f>
        <v>3.o lugar</v>
      </c>
      <c r="I15" s="25">
        <f>vlookup(vlookup(A15,tabela!$A$2:$F$105,6,false),multipl!$A$2:$C$19,3,false)</f>
        <v>2</v>
      </c>
      <c r="J15" s="28">
        <f t="shared" si="1"/>
        <v>0</v>
      </c>
      <c r="K15" s="28">
        <f t="shared" si="2"/>
        <v>0</v>
      </c>
      <c r="L15" s="28">
        <f t="shared" si="3"/>
        <v>0</v>
      </c>
      <c r="M15" s="28">
        <f t="shared" si="4"/>
        <v>0</v>
      </c>
    </row>
    <row r="16">
      <c r="A16" s="25">
        <f>Palpites!A16</f>
        <v>104</v>
      </c>
      <c r="B16" s="25" t="str">
        <f>Palpites!B16</f>
        <v>jbbinder@gmail.com</v>
      </c>
      <c r="C16" s="27">
        <f>Palpites!C16</f>
        <v>46158.80327</v>
      </c>
      <c r="D16" s="25">
        <f>Palpites!D16</f>
        <v>0</v>
      </c>
      <c r="E16" s="25">
        <f>Palpites!E16</f>
        <v>0</v>
      </c>
      <c r="F16" s="25" t="str">
        <f>VLOOKUP(A16,tabela!$A$2:$L$105,11,false)</f>
        <v/>
      </c>
      <c r="G16" s="25" t="str">
        <f>VLOOKUP(A16,tabela!$A$2:$L$105,12,false)</f>
        <v/>
      </c>
      <c r="H16" s="25" t="str">
        <f>vlookup(vlookup(A16,tabela!$A$2:$F$105,6,false),multipl!$A$2:$C$19,2,false)</f>
        <v>final</v>
      </c>
      <c r="I16" s="25">
        <f>vlookup(vlookup(A16,tabela!$A$2:$F$105,6,false),multipl!$A$2:$C$19,3,false)</f>
        <v>5</v>
      </c>
      <c r="J16" s="28">
        <f t="shared" si="1"/>
        <v>0</v>
      </c>
      <c r="K16" s="28">
        <f t="shared" si="2"/>
        <v>0</v>
      </c>
      <c r="L16" s="28">
        <f t="shared" si="3"/>
        <v>0</v>
      </c>
      <c r="M16" s="28">
        <f t="shared" si="4"/>
        <v>0</v>
      </c>
    </row>
    <row r="17">
      <c r="A17" s="25">
        <f>Palpites!A17</f>
        <v>10</v>
      </c>
      <c r="B17" s="25" t="str">
        <f>Palpites!B17</f>
        <v>jbbinder@gmail.com</v>
      </c>
      <c r="C17" s="27">
        <f>Palpites!C17</f>
        <v>46164.58085</v>
      </c>
      <c r="D17" s="25">
        <f>Palpites!D17</f>
        <v>1</v>
      </c>
      <c r="E17" s="25">
        <f>Palpites!E17</f>
        <v>1</v>
      </c>
      <c r="F17" s="25">
        <f>VLOOKUP(A17,tabela!$A$2:$L$105,11,false)</f>
        <v>0</v>
      </c>
      <c r="G17" s="25">
        <f>VLOOKUP(A17,tabela!$A$2:$L$105,12,false)</f>
        <v>0</v>
      </c>
      <c r="H17" s="25" t="str">
        <f>vlookup(vlookup(A17,tabela!$A$2:$F$105,6,false),multipl!$A$2:$C$19,2,false)</f>
        <v>grupos</v>
      </c>
      <c r="I17" s="25">
        <f>vlookup(vlookup(A17,tabela!$A$2:$F$105,6,false),multipl!$A$2:$C$19,3,false)</f>
        <v>1</v>
      </c>
      <c r="J17" s="28">
        <f t="shared" si="1"/>
        <v>1</v>
      </c>
      <c r="K17" s="28">
        <f t="shared" si="2"/>
        <v>0</v>
      </c>
      <c r="L17" s="28">
        <f t="shared" si="3"/>
        <v>0</v>
      </c>
      <c r="M17" s="28">
        <f t="shared" si="4"/>
        <v>1</v>
      </c>
    </row>
    <row r="18">
      <c r="A18" s="25">
        <f>Palpites!A18</f>
        <v>13</v>
      </c>
      <c r="B18" s="25" t="str">
        <f>Palpites!B18</f>
        <v>jbbinder@gmail.com</v>
      </c>
      <c r="C18" s="27">
        <f>Palpites!C18</f>
        <v>46164.60574</v>
      </c>
      <c r="D18" s="25">
        <f>Palpites!D18</f>
        <v>0</v>
      </c>
      <c r="E18" s="25">
        <f>Palpites!E18</f>
        <v>0</v>
      </c>
      <c r="F18" s="25" t="str">
        <f>VLOOKUP(A18,tabela!$A$2:$L$105,11,false)</f>
        <v/>
      </c>
      <c r="G18" s="25" t="str">
        <f>VLOOKUP(A18,tabela!$A$2:$L$105,12,false)</f>
        <v/>
      </c>
      <c r="H18" s="25" t="str">
        <f>vlookup(vlookup(A18,tabela!$A$2:$F$105,6,false),multipl!$A$2:$C$19,2,false)</f>
        <v>grupos</v>
      </c>
      <c r="I18" s="25">
        <f>vlookup(vlookup(A18,tabela!$A$2:$F$105,6,false),multipl!$A$2:$C$19,3,false)</f>
        <v>1</v>
      </c>
      <c r="J18" s="28">
        <f t="shared" si="1"/>
        <v>0</v>
      </c>
      <c r="K18" s="28">
        <f t="shared" si="2"/>
        <v>0</v>
      </c>
      <c r="L18" s="28">
        <f t="shared" si="3"/>
        <v>0</v>
      </c>
      <c r="M18" s="28">
        <f t="shared" si="4"/>
        <v>0</v>
      </c>
    </row>
    <row r="19">
      <c r="A19" s="25" t="str">
        <f>Palpites!A19</f>
        <v/>
      </c>
      <c r="B19" s="25" t="str">
        <f>Palpites!B19</f>
        <v/>
      </c>
      <c r="C19" s="25" t="str">
        <f>Palpites!C19</f>
        <v/>
      </c>
      <c r="D19" s="25" t="str">
        <f>Palpites!D19</f>
        <v/>
      </c>
      <c r="E19" s="25" t="str">
        <f>Palpites!E19</f>
        <v/>
      </c>
    </row>
    <row r="20">
      <c r="A20" s="25" t="str">
        <f>Palpites!A20</f>
        <v/>
      </c>
      <c r="B20" s="25" t="str">
        <f>Palpites!B20</f>
        <v/>
      </c>
      <c r="C20" s="25" t="str">
        <f>Palpites!C20</f>
        <v/>
      </c>
      <c r="D20" s="25" t="str">
        <f>Palpites!D20</f>
        <v/>
      </c>
      <c r="E20" s="25" t="str">
        <f>Palpites!E20</f>
        <v/>
      </c>
    </row>
    <row r="21">
      <c r="A21" s="25" t="str">
        <f>Palpites!A21</f>
        <v/>
      </c>
      <c r="B21" s="25" t="str">
        <f>Palpites!B21</f>
        <v/>
      </c>
      <c r="C21" s="25" t="str">
        <f>Palpites!C21</f>
        <v/>
      </c>
      <c r="D21" s="25" t="str">
        <f>Palpites!D21</f>
        <v/>
      </c>
      <c r="E21" s="25" t="str">
        <f>Palpites!E21</f>
        <v/>
      </c>
    </row>
    <row r="22">
      <c r="A22" s="25" t="str">
        <f>Palpites!A22</f>
        <v/>
      </c>
      <c r="B22" s="25" t="str">
        <f>Palpites!B22</f>
        <v/>
      </c>
      <c r="C22" s="25" t="str">
        <f>Palpites!C22</f>
        <v/>
      </c>
      <c r="D22" s="25" t="str">
        <f>Palpites!D22</f>
        <v/>
      </c>
      <c r="E22" s="25" t="str">
        <f>Palpites!E22</f>
        <v/>
      </c>
    </row>
    <row r="23">
      <c r="A23" s="25" t="str">
        <f>Palpites!A23</f>
        <v/>
      </c>
      <c r="B23" s="25" t="str">
        <f>Palpites!B23</f>
        <v/>
      </c>
      <c r="C23" s="25" t="str">
        <f>Palpites!C23</f>
        <v/>
      </c>
      <c r="D23" s="25" t="str">
        <f>Palpites!D23</f>
        <v/>
      </c>
      <c r="E23" s="25" t="str">
        <f>Palpites!E23</f>
        <v/>
      </c>
    </row>
    <row r="24">
      <c r="A24" s="25" t="str">
        <f>Palpites!A24</f>
        <v/>
      </c>
      <c r="B24" s="25" t="str">
        <f>Palpites!B24</f>
        <v/>
      </c>
      <c r="C24" s="25" t="str">
        <f>Palpites!C24</f>
        <v/>
      </c>
      <c r="D24" s="25" t="str">
        <f>Palpites!D24</f>
        <v/>
      </c>
      <c r="E24" s="25" t="str">
        <f>Palpites!E24</f>
        <v/>
      </c>
    </row>
    <row r="25">
      <c r="A25" s="25" t="str">
        <f>Palpites!A25</f>
        <v/>
      </c>
      <c r="B25" s="25" t="str">
        <f>Palpites!B25</f>
        <v/>
      </c>
      <c r="C25" s="25" t="str">
        <f>Palpites!C25</f>
        <v/>
      </c>
      <c r="D25" s="25" t="str">
        <f>Palpites!D25</f>
        <v/>
      </c>
      <c r="E25" s="25" t="str">
        <f>Palpites!E25</f>
        <v/>
      </c>
    </row>
    <row r="26">
      <c r="A26" s="25" t="str">
        <f>Palpites!A26</f>
        <v/>
      </c>
      <c r="B26" s="25" t="str">
        <f>Palpites!B26</f>
        <v/>
      </c>
      <c r="C26" s="25" t="str">
        <f>Palpites!C26</f>
        <v/>
      </c>
      <c r="D26" s="25" t="str">
        <f>Palpites!D26</f>
        <v/>
      </c>
      <c r="E26" s="25" t="str">
        <f>Palpites!E26</f>
        <v/>
      </c>
    </row>
    <row r="27">
      <c r="A27" s="25" t="str">
        <f>Palpites!A27</f>
        <v/>
      </c>
      <c r="B27" s="25" t="str">
        <f>Palpites!B27</f>
        <v/>
      </c>
      <c r="C27" s="25" t="str">
        <f>Palpites!C27</f>
        <v/>
      </c>
      <c r="D27" s="25" t="str">
        <f>Palpites!D27</f>
        <v/>
      </c>
      <c r="E27" s="25" t="str">
        <f>Palpites!E27</f>
        <v/>
      </c>
    </row>
    <row r="28">
      <c r="A28" s="25" t="str">
        <f>Palpites!A28</f>
        <v/>
      </c>
      <c r="B28" s="25" t="str">
        <f>Palpites!B28</f>
        <v/>
      </c>
      <c r="C28" s="25" t="str">
        <f>Palpites!C28</f>
        <v/>
      </c>
      <c r="D28" s="25" t="str">
        <f>Palpites!D28</f>
        <v/>
      </c>
      <c r="E28" s="25" t="str">
        <f>Palpites!E28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</cols>
  <sheetData>
    <row r="1">
      <c r="A1" s="12" t="s">
        <v>144</v>
      </c>
      <c r="B1" s="12" t="s">
        <v>158</v>
      </c>
      <c r="C1" s="12" t="s">
        <v>159</v>
      </c>
      <c r="D1" s="12" t="s">
        <v>160</v>
      </c>
      <c r="E1" s="12" t="s">
        <v>161</v>
      </c>
    </row>
    <row r="2">
      <c r="A2" s="25" t="str">
        <f t="array" ref="A2:A4">unique(result!B2:B18)</f>
        <v>jbbinder@gmail.com</v>
      </c>
      <c r="B2" s="25">
        <f>sumifs(result!J:J,result!$B:$B,$A2)</f>
        <v>2</v>
      </c>
      <c r="C2" s="25">
        <f>sumifs(result!K:K,result!$B:$B,$A2)</f>
        <v>0</v>
      </c>
      <c r="D2" s="25">
        <f>sumifs(result!L:L,result!$B:$B,$A2)</f>
        <v>0</v>
      </c>
      <c r="E2" s="25">
        <f>sumifs(result!M:M,result!$B:$B,$A2)</f>
        <v>2</v>
      </c>
    </row>
    <row r="3">
      <c r="A3" s="25" t="s">
        <v>149</v>
      </c>
      <c r="B3" s="25">
        <f>sumifs(result!J:J,result!$B:$B,$A3)</f>
        <v>0</v>
      </c>
      <c r="C3" s="25">
        <f>sumifs(result!K:K,result!$B:$B,$A3)</f>
        <v>0</v>
      </c>
      <c r="D3" s="25">
        <f>sumifs(result!L:L,result!$B:$B,$A3)</f>
        <v>0</v>
      </c>
      <c r="E3" s="25">
        <f>sumifs(result!M:M,result!$B:$B,$A3)</f>
        <v>0</v>
      </c>
    </row>
    <row r="4">
      <c r="A4" s="25" t="s">
        <v>150</v>
      </c>
      <c r="B4" s="25">
        <f>sumifs(result!J:J,result!$B:$B,$A4)</f>
        <v>1</v>
      </c>
      <c r="C4" s="25">
        <f>sumifs(result!K:K,result!$B:$B,$A4)</f>
        <v>0</v>
      </c>
      <c r="D4" s="25">
        <f>sumifs(result!L:L,result!$B:$B,$A4)</f>
        <v>0</v>
      </c>
      <c r="E4" s="25">
        <f>sumifs(result!M:M,result!$B:$B,$A4)</f>
        <v>1</v>
      </c>
    </row>
    <row r="5">
      <c r="A5" s="12"/>
      <c r="B5" s="25">
        <f>sumifs(result!J:J,result!$B:$B,$A5)</f>
        <v>0</v>
      </c>
      <c r="C5" s="25">
        <f>sumifs(result!K:K,result!$B:$B,$A5)</f>
        <v>0</v>
      </c>
      <c r="D5" s="25">
        <f>sumifs(result!L:L,result!$B:$B,$A5)</f>
        <v>0</v>
      </c>
      <c r="E5" s="25">
        <f>sumifs(result!M:M,result!$B:$B,$A5)</f>
        <v>0</v>
      </c>
    </row>
    <row r="6">
      <c r="B6" s="25">
        <f>sumifs(result!J:J,result!$B:$B,$A6)</f>
        <v>0</v>
      </c>
      <c r="C6" s="25">
        <f>sumifs(result!K:K,result!$B:$B,$A6)</f>
        <v>0</v>
      </c>
      <c r="D6" s="25">
        <f>sumifs(result!L:L,result!$B:$B,$A6)</f>
        <v>0</v>
      </c>
      <c r="E6" s="25">
        <f>sumifs(result!M:M,result!$B:$B,$A6)</f>
        <v>0</v>
      </c>
    </row>
    <row r="7">
      <c r="B7" s="25">
        <f>sumifs(result!J:J,result!$B:$B,$A7)</f>
        <v>0</v>
      </c>
      <c r="C7" s="25">
        <f>sumifs(result!K:K,result!$B:$B,$A7)</f>
        <v>0</v>
      </c>
      <c r="D7" s="25">
        <f>sumifs(result!L:L,result!$B:$B,$A7)</f>
        <v>0</v>
      </c>
      <c r="E7" s="25">
        <f>sumifs(result!M:M,result!$B:$B,$A7)</f>
        <v>0</v>
      </c>
    </row>
    <row r="8">
      <c r="B8" s="25">
        <f>sumifs(result!J:J,result!$B:$B,$A8)</f>
        <v>0</v>
      </c>
      <c r="C8" s="25">
        <f>sumifs(result!K:K,result!$B:$B,$A8)</f>
        <v>0</v>
      </c>
      <c r="D8" s="25">
        <f>sumifs(result!L:L,result!$B:$B,$A8)</f>
        <v>0</v>
      </c>
      <c r="E8" s="25">
        <f>sumifs(result!M:M,result!$B:$B,$A8)</f>
        <v>0</v>
      </c>
    </row>
    <row r="9">
      <c r="B9" s="25">
        <f>sumifs(result!J:J,result!$B:$B,$A9)</f>
        <v>0</v>
      </c>
      <c r="C9" s="25">
        <f>sumifs(result!K:K,result!$B:$B,$A9)</f>
        <v>0</v>
      </c>
      <c r="D9" s="25">
        <f>sumifs(result!L:L,result!$B:$B,$A9)</f>
        <v>0</v>
      </c>
      <c r="E9" s="25">
        <f>sumifs(result!M:M,result!$B:$B,$A9)</f>
        <v>0</v>
      </c>
    </row>
    <row r="10">
      <c r="B10" s="25">
        <f>sumifs(result!J:J,result!$B:$B,$A10)</f>
        <v>0</v>
      </c>
      <c r="C10" s="25">
        <f>sumifs(result!K:K,result!$B:$B,$A10)</f>
        <v>0</v>
      </c>
      <c r="D10" s="25">
        <f>sumifs(result!L:L,result!$B:$B,$A10)</f>
        <v>0</v>
      </c>
      <c r="E10" s="25">
        <f>sumifs(result!M:M,result!$B:$B,$A10)</f>
        <v>0</v>
      </c>
    </row>
    <row r="11">
      <c r="B11" s="25">
        <f>sumifs(result!J:J,result!$B:$B,$A11)</f>
        <v>0</v>
      </c>
      <c r="C11" s="25">
        <f>sumifs(result!K:K,result!$B:$B,$A11)</f>
        <v>0</v>
      </c>
      <c r="D11" s="25">
        <f>sumifs(result!L:L,result!$B:$B,$A11)</f>
        <v>0</v>
      </c>
      <c r="E11" s="25">
        <f>sumifs(result!M:M,result!$B:$B,$A11)</f>
        <v>0</v>
      </c>
    </row>
    <row r="12">
      <c r="B12" s="25">
        <f>sumifs(result!J:J,result!$B:$B,$A12)</f>
        <v>0</v>
      </c>
      <c r="C12" s="25">
        <f>sumifs(result!K:K,result!$B:$B,$A12)</f>
        <v>0</v>
      </c>
      <c r="D12" s="25">
        <f>sumifs(result!L:L,result!$B:$B,$A12)</f>
        <v>0</v>
      </c>
      <c r="E12" s="25">
        <f>sumifs(result!M:M,result!$B:$B,$A12)</f>
        <v>0</v>
      </c>
    </row>
    <row r="13">
      <c r="B13" s="25">
        <f>sumifs(result!J:J,result!$B:$B,$A13)</f>
        <v>0</v>
      </c>
      <c r="C13" s="25">
        <f>sumifs(result!K:K,result!$B:$B,$A13)</f>
        <v>0</v>
      </c>
      <c r="D13" s="25">
        <f>sumifs(result!L:L,result!$B:$B,$A13)</f>
        <v>0</v>
      </c>
      <c r="E13" s="25">
        <f>sumifs(result!M:M,result!$B:$B,$A13)</f>
        <v>0</v>
      </c>
    </row>
    <row r="14">
      <c r="B14" s="25">
        <f>sumifs(result!J:J,result!$B:$B,$A14)</f>
        <v>0</v>
      </c>
      <c r="C14" s="25">
        <f>sumifs(result!K:K,result!$B:$B,$A14)</f>
        <v>0</v>
      </c>
      <c r="D14" s="25">
        <f>sumifs(result!L:L,result!$B:$B,$A14)</f>
        <v>0</v>
      </c>
      <c r="E14" s="25">
        <f>sumifs(result!M:M,result!$B:$B,$A14)</f>
        <v>0</v>
      </c>
    </row>
    <row r="15">
      <c r="B15" s="25">
        <f>sumifs(result!J:J,result!$B:$B,$A15)</f>
        <v>0</v>
      </c>
      <c r="C15" s="25">
        <f>sumifs(result!K:K,result!$B:$B,$A15)</f>
        <v>0</v>
      </c>
      <c r="D15" s="25">
        <f>sumifs(result!L:L,result!$B:$B,$A15)</f>
        <v>0</v>
      </c>
      <c r="E15" s="25">
        <f>sumifs(result!M:M,result!$B:$B,$A15)</f>
        <v>0</v>
      </c>
    </row>
    <row r="16">
      <c r="B16" s="25">
        <f>sumifs(result!J:J,result!$B:$B,$A16)</f>
        <v>0</v>
      </c>
      <c r="C16" s="25">
        <f>sumifs(result!K:K,result!$B:$B,$A16)</f>
        <v>0</v>
      </c>
      <c r="D16" s="25">
        <f>sumifs(result!L:L,result!$B:$B,$A16)</f>
        <v>0</v>
      </c>
      <c r="E16" s="25">
        <f>sumifs(result!M:M,result!$B:$B,$A16)</f>
        <v>0</v>
      </c>
    </row>
    <row r="17">
      <c r="B17" s="25">
        <f>sumifs(result!J:J,result!$B:$B,$A17)</f>
        <v>0</v>
      </c>
      <c r="C17" s="25">
        <f>sumifs(result!K:K,result!$B:$B,$A17)</f>
        <v>0</v>
      </c>
      <c r="D17" s="25">
        <f>sumifs(result!L:L,result!$B:$B,$A17)</f>
        <v>0</v>
      </c>
      <c r="E17" s="25">
        <f>sumifs(result!M:M,result!$B:$B,$A17)</f>
        <v>0</v>
      </c>
    </row>
    <row r="18">
      <c r="B18" s="25">
        <f>sumifs(result!J:J,result!$B:$B,$A18)</f>
        <v>0</v>
      </c>
      <c r="C18" s="25">
        <f>sumifs(result!K:K,result!$B:$B,$A18)</f>
        <v>0</v>
      </c>
      <c r="D18" s="25">
        <f>sumifs(result!L:L,result!$B:$B,$A18)</f>
        <v>0</v>
      </c>
      <c r="E18" s="25">
        <f>sumifs(result!M:M,result!$B:$B,$A18)</f>
        <v>0</v>
      </c>
    </row>
    <row r="19">
      <c r="B19" s="25">
        <f>sumifs(result!J:J,result!$B:$B,$A19)</f>
        <v>0</v>
      </c>
      <c r="C19" s="25">
        <f>sumifs(result!K:K,result!$B:$B,$A19)</f>
        <v>0</v>
      </c>
      <c r="D19" s="25">
        <f>sumifs(result!L:L,result!$B:$B,$A19)</f>
        <v>0</v>
      </c>
      <c r="E19" s="25">
        <f>sumifs(result!M:M,result!$B:$B,$A19)</f>
        <v>0</v>
      </c>
    </row>
    <row r="20">
      <c r="B20" s="25">
        <f>sumifs(result!J:J,result!$B:$B,$A20)</f>
        <v>0</v>
      </c>
      <c r="C20" s="25">
        <f>sumifs(result!K:K,result!$B:$B,$A20)</f>
        <v>0</v>
      </c>
      <c r="D20" s="25">
        <f>sumifs(result!L:L,result!$B:$B,$A20)</f>
        <v>0</v>
      </c>
      <c r="E20" s="25">
        <f>sumifs(result!M:M,result!$B:$B,$A20)</f>
        <v>0</v>
      </c>
    </row>
    <row r="21">
      <c r="B21" s="25">
        <f>sumifs(result!J:J,result!$B:$B,$A21)</f>
        <v>0</v>
      </c>
      <c r="C21" s="25">
        <f>sumifs(result!K:K,result!$B:$B,$A21)</f>
        <v>0</v>
      </c>
      <c r="D21" s="25">
        <f>sumifs(result!L:L,result!$B:$B,$A21)</f>
        <v>0</v>
      </c>
      <c r="E21" s="25">
        <f>sumifs(result!M:M,result!$B:$B,$A21)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</cols>
  <sheetData>
    <row r="1">
      <c r="A1" s="12" t="s">
        <v>144</v>
      </c>
      <c r="B1" s="23" t="s">
        <v>162</v>
      </c>
      <c r="C1" s="23" t="s">
        <v>73</v>
      </c>
      <c r="D1" s="23" t="s">
        <v>106</v>
      </c>
      <c r="E1" s="23" t="s">
        <v>123</v>
      </c>
      <c r="F1" s="23" t="s">
        <v>132</v>
      </c>
      <c r="G1" s="23" t="s">
        <v>137</v>
      </c>
      <c r="H1" s="23" t="s">
        <v>140</v>
      </c>
      <c r="I1" s="12" t="s">
        <v>163</v>
      </c>
    </row>
    <row r="2">
      <c r="A2" s="25" t="str">
        <f t="array" ref="A2:A4">unique(result!B2:B18)</f>
        <v>jbbinder@gmail.com</v>
      </c>
      <c r="B2" s="25">
        <f>sumifs(result!$M:$M,result!$B:$B,$A2,result!$H:$H,B$1)</f>
        <v>2</v>
      </c>
      <c r="C2" s="25">
        <f>sumifs(result!$M:$M,result!$B:$B,$A2,result!$H:$H,C$1)</f>
        <v>0</v>
      </c>
      <c r="D2" s="25">
        <f>sumifs(result!$M:$M,result!$B:$B,$A2,result!$H:$H,D$1)</f>
        <v>0</v>
      </c>
      <c r="E2" s="25">
        <f>sumifs(result!$M:$M,result!$B:$B,$A2,result!$H:$H,E$1)</f>
        <v>0</v>
      </c>
      <c r="F2" s="25">
        <f>sumifs(result!$M:$M,result!$B:$B,$A2,result!$H:$H,F$1)</f>
        <v>0</v>
      </c>
      <c r="G2" s="25">
        <f>sumifs(result!$M:$M,result!$B:$B,$A2,result!$H:$H,G$1)</f>
        <v>0</v>
      </c>
      <c r="H2" s="25">
        <f>sumifs(result!$M:$M,result!$B:$B,$A2,result!$H:$H,H$1)</f>
        <v>0</v>
      </c>
      <c r="I2" s="25">
        <f t="shared" ref="I2:I21" si="1">sum(B2:H2)</f>
        <v>2</v>
      </c>
    </row>
    <row r="3">
      <c r="A3" s="25" t="s">
        <v>149</v>
      </c>
      <c r="B3" s="25">
        <f>sumifs(result!$M:$M,result!$B:$B,$A3,result!$H:$H,B$1)</f>
        <v>0</v>
      </c>
      <c r="C3" s="25">
        <f>sumifs(result!$M:$M,result!$B:$B,$A3,result!$H:$H,C$1)</f>
        <v>0</v>
      </c>
      <c r="D3" s="25">
        <f>sumifs(result!$M:$M,result!$B:$B,$A3,result!$H:$H,D$1)</f>
        <v>0</v>
      </c>
      <c r="E3" s="25">
        <f>sumifs(result!$M:$M,result!$B:$B,$A3,result!$H:$H,E$1)</f>
        <v>0</v>
      </c>
      <c r="F3" s="25">
        <f>sumifs(result!$M:$M,result!$B:$B,$A3,result!$H:$H,F$1)</f>
        <v>0</v>
      </c>
      <c r="G3" s="25">
        <f>sumifs(result!$M:$M,result!$B:$B,$A3,result!$H:$H,G$1)</f>
        <v>0</v>
      </c>
      <c r="H3" s="25">
        <f>sumifs(result!$M:$M,result!$B:$B,$A3,result!$H:$H,H$1)</f>
        <v>0</v>
      </c>
      <c r="I3" s="25">
        <f t="shared" si="1"/>
        <v>0</v>
      </c>
    </row>
    <row r="4">
      <c r="A4" s="25" t="s">
        <v>150</v>
      </c>
      <c r="B4" s="25">
        <f>sumifs(result!$M:$M,result!$B:$B,$A4,result!$H:$H,B$1)</f>
        <v>1</v>
      </c>
      <c r="C4" s="25">
        <f>sumifs(result!$M:$M,result!$B:$B,$A4,result!$H:$H,C$1)</f>
        <v>0</v>
      </c>
      <c r="D4" s="25">
        <f>sumifs(result!$M:$M,result!$B:$B,$A4,result!$H:$H,D$1)</f>
        <v>0</v>
      </c>
      <c r="E4" s="25">
        <f>sumifs(result!$M:$M,result!$B:$B,$A4,result!$H:$H,E$1)</f>
        <v>0</v>
      </c>
      <c r="F4" s="25">
        <f>sumifs(result!$M:$M,result!$B:$B,$A4,result!$H:$H,F$1)</f>
        <v>0</v>
      </c>
      <c r="G4" s="25">
        <f>sumifs(result!$M:$M,result!$B:$B,$A4,result!$H:$H,G$1)</f>
        <v>0</v>
      </c>
      <c r="H4" s="25">
        <f>sumifs(result!$M:$M,result!$B:$B,$A4,result!$H:$H,H$1)</f>
        <v>0</v>
      </c>
      <c r="I4" s="25">
        <f t="shared" si="1"/>
        <v>1</v>
      </c>
    </row>
    <row r="5">
      <c r="A5" s="12"/>
      <c r="B5" s="25">
        <f>sumifs(result!$M:$M,result!$B:$B,$A5,result!$H:$H,B$1)</f>
        <v>0</v>
      </c>
      <c r="C5" s="25">
        <f>sumifs(result!$M:$M,result!$B:$B,$A5,result!$H:$H,C$1)</f>
        <v>0</v>
      </c>
      <c r="D5" s="25">
        <f>sumifs(result!$M:$M,result!$B:$B,$A5,result!$H:$H,D$1)</f>
        <v>0</v>
      </c>
      <c r="E5" s="25">
        <f>sumifs(result!$M:$M,result!$B:$B,$A5,result!$H:$H,E$1)</f>
        <v>0</v>
      </c>
      <c r="F5" s="25">
        <f>sumifs(result!$M:$M,result!$B:$B,$A5,result!$H:$H,F$1)</f>
        <v>0</v>
      </c>
      <c r="G5" s="25">
        <f>sumifs(result!$M:$M,result!$B:$B,$A5,result!$H:$H,G$1)</f>
        <v>0</v>
      </c>
      <c r="H5" s="25">
        <f>sumifs(result!$M:$M,result!$B:$B,$A5,result!$H:$H,H$1)</f>
        <v>0</v>
      </c>
      <c r="I5" s="25">
        <f t="shared" si="1"/>
        <v>0</v>
      </c>
    </row>
    <row r="6">
      <c r="B6" s="25">
        <f>sumifs(result!$M:$M,result!$B:$B,$A6,result!$H:$H,B$1)</f>
        <v>0</v>
      </c>
      <c r="C6" s="25">
        <f>sumifs(result!$M:$M,result!$B:$B,$A6,result!$H:$H,C$1)</f>
        <v>0</v>
      </c>
      <c r="D6" s="25">
        <f>sumifs(result!$M:$M,result!$B:$B,$A6,result!$H:$H,D$1)</f>
        <v>0</v>
      </c>
      <c r="E6" s="25">
        <f>sumifs(result!$M:$M,result!$B:$B,$A6,result!$H:$H,E$1)</f>
        <v>0</v>
      </c>
      <c r="F6" s="25">
        <f>sumifs(result!$M:$M,result!$B:$B,$A6,result!$H:$H,F$1)</f>
        <v>0</v>
      </c>
      <c r="G6" s="25">
        <f>sumifs(result!$M:$M,result!$B:$B,$A6,result!$H:$H,G$1)</f>
        <v>0</v>
      </c>
      <c r="H6" s="25">
        <f>sumifs(result!$M:$M,result!$B:$B,$A6,result!$H:$H,H$1)</f>
        <v>0</v>
      </c>
      <c r="I6" s="25">
        <f t="shared" si="1"/>
        <v>0</v>
      </c>
    </row>
    <row r="7">
      <c r="B7" s="25">
        <f>sumifs(result!$M:$M,result!$B:$B,$A7,result!$H:$H,B$1)</f>
        <v>0</v>
      </c>
      <c r="C7" s="25">
        <f>sumifs(result!$M:$M,result!$B:$B,$A7,result!$H:$H,C$1)</f>
        <v>0</v>
      </c>
      <c r="D7" s="25">
        <f>sumifs(result!$M:$M,result!$B:$B,$A7,result!$H:$H,D$1)</f>
        <v>0</v>
      </c>
      <c r="E7" s="25">
        <f>sumifs(result!$M:$M,result!$B:$B,$A7,result!$H:$H,E$1)</f>
        <v>0</v>
      </c>
      <c r="F7" s="25">
        <f>sumifs(result!$M:$M,result!$B:$B,$A7,result!$H:$H,F$1)</f>
        <v>0</v>
      </c>
      <c r="G7" s="25">
        <f>sumifs(result!$M:$M,result!$B:$B,$A7,result!$H:$H,G$1)</f>
        <v>0</v>
      </c>
      <c r="H7" s="25">
        <f>sumifs(result!$M:$M,result!$B:$B,$A7,result!$H:$H,H$1)</f>
        <v>0</v>
      </c>
      <c r="I7" s="25">
        <f t="shared" si="1"/>
        <v>0</v>
      </c>
    </row>
    <row r="8">
      <c r="B8" s="25">
        <f>sumifs(result!$M:$M,result!$B:$B,$A8,result!$H:$H,B$1)</f>
        <v>0</v>
      </c>
      <c r="C8" s="25">
        <f>sumifs(result!$M:$M,result!$B:$B,$A8,result!$H:$H,C$1)</f>
        <v>0</v>
      </c>
      <c r="D8" s="25">
        <f>sumifs(result!$M:$M,result!$B:$B,$A8,result!$H:$H,D$1)</f>
        <v>0</v>
      </c>
      <c r="E8" s="25">
        <f>sumifs(result!$M:$M,result!$B:$B,$A8,result!$H:$H,E$1)</f>
        <v>0</v>
      </c>
      <c r="F8" s="25">
        <f>sumifs(result!$M:$M,result!$B:$B,$A8,result!$H:$H,F$1)</f>
        <v>0</v>
      </c>
      <c r="G8" s="25">
        <f>sumifs(result!$M:$M,result!$B:$B,$A8,result!$H:$H,G$1)</f>
        <v>0</v>
      </c>
      <c r="H8" s="25">
        <f>sumifs(result!$M:$M,result!$B:$B,$A8,result!$H:$H,H$1)</f>
        <v>0</v>
      </c>
      <c r="I8" s="25">
        <f t="shared" si="1"/>
        <v>0</v>
      </c>
    </row>
    <row r="9">
      <c r="B9" s="25">
        <f>sumifs(result!$M:$M,result!$B:$B,$A9,result!$H:$H,B$1)</f>
        <v>0</v>
      </c>
      <c r="C9" s="25">
        <f>sumifs(result!$M:$M,result!$B:$B,$A9,result!$H:$H,C$1)</f>
        <v>0</v>
      </c>
      <c r="D9" s="25">
        <f>sumifs(result!$M:$M,result!$B:$B,$A9,result!$H:$H,D$1)</f>
        <v>0</v>
      </c>
      <c r="E9" s="25">
        <f>sumifs(result!$M:$M,result!$B:$B,$A9,result!$H:$H,E$1)</f>
        <v>0</v>
      </c>
      <c r="F9" s="25">
        <f>sumifs(result!$M:$M,result!$B:$B,$A9,result!$H:$H,F$1)</f>
        <v>0</v>
      </c>
      <c r="G9" s="25">
        <f>sumifs(result!$M:$M,result!$B:$B,$A9,result!$H:$H,G$1)</f>
        <v>0</v>
      </c>
      <c r="H9" s="25">
        <f>sumifs(result!$M:$M,result!$B:$B,$A9,result!$H:$H,H$1)</f>
        <v>0</v>
      </c>
      <c r="I9" s="25">
        <f t="shared" si="1"/>
        <v>0</v>
      </c>
    </row>
    <row r="10">
      <c r="B10" s="25">
        <f>sumifs(result!$M:$M,result!$B:$B,$A10,result!$H:$H,B$1)</f>
        <v>0</v>
      </c>
      <c r="C10" s="25">
        <f>sumifs(result!$M:$M,result!$B:$B,$A10,result!$H:$H,C$1)</f>
        <v>0</v>
      </c>
      <c r="D10" s="25">
        <f>sumifs(result!$M:$M,result!$B:$B,$A10,result!$H:$H,D$1)</f>
        <v>0</v>
      </c>
      <c r="E10" s="25">
        <f>sumifs(result!$M:$M,result!$B:$B,$A10,result!$H:$H,E$1)</f>
        <v>0</v>
      </c>
      <c r="F10" s="25">
        <f>sumifs(result!$M:$M,result!$B:$B,$A10,result!$H:$H,F$1)</f>
        <v>0</v>
      </c>
      <c r="G10" s="25">
        <f>sumifs(result!$M:$M,result!$B:$B,$A10,result!$H:$H,G$1)</f>
        <v>0</v>
      </c>
      <c r="H10" s="25">
        <f>sumifs(result!$M:$M,result!$B:$B,$A10,result!$H:$H,H$1)</f>
        <v>0</v>
      </c>
      <c r="I10" s="25">
        <f t="shared" si="1"/>
        <v>0</v>
      </c>
    </row>
    <row r="11">
      <c r="B11" s="25">
        <f>sumifs(result!$M:$M,result!$B:$B,$A11,result!$H:$H,B$1)</f>
        <v>0</v>
      </c>
      <c r="C11" s="25">
        <f>sumifs(result!$M:$M,result!$B:$B,$A11,result!$H:$H,C$1)</f>
        <v>0</v>
      </c>
      <c r="D11" s="25">
        <f>sumifs(result!$M:$M,result!$B:$B,$A11,result!$H:$H,D$1)</f>
        <v>0</v>
      </c>
      <c r="E11" s="25">
        <f>sumifs(result!$M:$M,result!$B:$B,$A11,result!$H:$H,E$1)</f>
        <v>0</v>
      </c>
      <c r="F11" s="25">
        <f>sumifs(result!$M:$M,result!$B:$B,$A11,result!$H:$H,F$1)</f>
        <v>0</v>
      </c>
      <c r="G11" s="25">
        <f>sumifs(result!$M:$M,result!$B:$B,$A11,result!$H:$H,G$1)</f>
        <v>0</v>
      </c>
      <c r="H11" s="25">
        <f>sumifs(result!$M:$M,result!$B:$B,$A11,result!$H:$H,H$1)</f>
        <v>0</v>
      </c>
      <c r="I11" s="25">
        <f t="shared" si="1"/>
        <v>0</v>
      </c>
    </row>
    <row r="12">
      <c r="B12" s="25">
        <f>sumifs(result!$M:$M,result!$B:$B,$A12,result!$H:$H,B$1)</f>
        <v>0</v>
      </c>
      <c r="C12" s="25">
        <f>sumifs(result!$M:$M,result!$B:$B,$A12,result!$H:$H,C$1)</f>
        <v>0</v>
      </c>
      <c r="D12" s="25">
        <f>sumifs(result!$M:$M,result!$B:$B,$A12,result!$H:$H,D$1)</f>
        <v>0</v>
      </c>
      <c r="E12" s="25">
        <f>sumifs(result!$M:$M,result!$B:$B,$A12,result!$H:$H,E$1)</f>
        <v>0</v>
      </c>
      <c r="F12" s="25">
        <f>sumifs(result!$M:$M,result!$B:$B,$A12,result!$H:$H,F$1)</f>
        <v>0</v>
      </c>
      <c r="G12" s="25">
        <f>sumifs(result!$M:$M,result!$B:$B,$A12,result!$H:$H,G$1)</f>
        <v>0</v>
      </c>
      <c r="H12" s="25">
        <f>sumifs(result!$M:$M,result!$B:$B,$A12,result!$H:$H,H$1)</f>
        <v>0</v>
      </c>
      <c r="I12" s="25">
        <f t="shared" si="1"/>
        <v>0</v>
      </c>
    </row>
    <row r="13">
      <c r="B13" s="25">
        <f>sumifs(result!$M:$M,result!$B:$B,$A13,result!$H:$H,B$1)</f>
        <v>0</v>
      </c>
      <c r="C13" s="25">
        <f>sumifs(result!$M:$M,result!$B:$B,$A13,result!$H:$H,C$1)</f>
        <v>0</v>
      </c>
      <c r="D13" s="25">
        <f>sumifs(result!$M:$M,result!$B:$B,$A13,result!$H:$H,D$1)</f>
        <v>0</v>
      </c>
      <c r="E13" s="25">
        <f>sumifs(result!$M:$M,result!$B:$B,$A13,result!$H:$H,E$1)</f>
        <v>0</v>
      </c>
      <c r="F13" s="25">
        <f>sumifs(result!$M:$M,result!$B:$B,$A13,result!$H:$H,F$1)</f>
        <v>0</v>
      </c>
      <c r="G13" s="25">
        <f>sumifs(result!$M:$M,result!$B:$B,$A13,result!$H:$H,G$1)</f>
        <v>0</v>
      </c>
      <c r="H13" s="25">
        <f>sumifs(result!$M:$M,result!$B:$B,$A13,result!$H:$H,H$1)</f>
        <v>0</v>
      </c>
      <c r="I13" s="25">
        <f t="shared" si="1"/>
        <v>0</v>
      </c>
    </row>
    <row r="14">
      <c r="B14" s="25">
        <f>sumifs(result!$M:$M,result!$B:$B,$A14,result!$H:$H,B$1)</f>
        <v>0</v>
      </c>
      <c r="C14" s="25">
        <f>sumifs(result!$M:$M,result!$B:$B,$A14,result!$H:$H,C$1)</f>
        <v>0</v>
      </c>
      <c r="D14" s="25">
        <f>sumifs(result!$M:$M,result!$B:$B,$A14,result!$H:$H,D$1)</f>
        <v>0</v>
      </c>
      <c r="E14" s="25">
        <f>sumifs(result!$M:$M,result!$B:$B,$A14,result!$H:$H,E$1)</f>
        <v>0</v>
      </c>
      <c r="F14" s="25">
        <f>sumifs(result!$M:$M,result!$B:$B,$A14,result!$H:$H,F$1)</f>
        <v>0</v>
      </c>
      <c r="G14" s="25">
        <f>sumifs(result!$M:$M,result!$B:$B,$A14,result!$H:$H,G$1)</f>
        <v>0</v>
      </c>
      <c r="H14" s="25">
        <f>sumifs(result!$M:$M,result!$B:$B,$A14,result!$H:$H,H$1)</f>
        <v>0</v>
      </c>
      <c r="I14" s="25">
        <f t="shared" si="1"/>
        <v>0</v>
      </c>
    </row>
    <row r="15">
      <c r="B15" s="25">
        <f>sumifs(result!$M:$M,result!$B:$B,$A15,result!$H:$H,B$1)</f>
        <v>0</v>
      </c>
      <c r="C15" s="25">
        <f>sumifs(result!$M:$M,result!$B:$B,$A15,result!$H:$H,C$1)</f>
        <v>0</v>
      </c>
      <c r="D15" s="25">
        <f>sumifs(result!$M:$M,result!$B:$B,$A15,result!$H:$H,D$1)</f>
        <v>0</v>
      </c>
      <c r="E15" s="25">
        <f>sumifs(result!$M:$M,result!$B:$B,$A15,result!$H:$H,E$1)</f>
        <v>0</v>
      </c>
      <c r="F15" s="25">
        <f>sumifs(result!$M:$M,result!$B:$B,$A15,result!$H:$H,F$1)</f>
        <v>0</v>
      </c>
      <c r="G15" s="25">
        <f>sumifs(result!$M:$M,result!$B:$B,$A15,result!$H:$H,G$1)</f>
        <v>0</v>
      </c>
      <c r="H15" s="25">
        <f>sumifs(result!$M:$M,result!$B:$B,$A15,result!$H:$H,H$1)</f>
        <v>0</v>
      </c>
      <c r="I15" s="25">
        <f t="shared" si="1"/>
        <v>0</v>
      </c>
    </row>
    <row r="16">
      <c r="B16" s="25">
        <f>sumifs(result!$M:$M,result!$B:$B,$A16,result!$H:$H,B$1)</f>
        <v>0</v>
      </c>
      <c r="C16" s="25">
        <f>sumifs(result!$M:$M,result!$B:$B,$A16,result!$H:$H,C$1)</f>
        <v>0</v>
      </c>
      <c r="D16" s="25">
        <f>sumifs(result!$M:$M,result!$B:$B,$A16,result!$H:$H,D$1)</f>
        <v>0</v>
      </c>
      <c r="E16" s="25">
        <f>sumifs(result!$M:$M,result!$B:$B,$A16,result!$H:$H,E$1)</f>
        <v>0</v>
      </c>
      <c r="F16" s="25">
        <f>sumifs(result!$M:$M,result!$B:$B,$A16,result!$H:$H,F$1)</f>
        <v>0</v>
      </c>
      <c r="G16" s="25">
        <f>sumifs(result!$M:$M,result!$B:$B,$A16,result!$H:$H,G$1)</f>
        <v>0</v>
      </c>
      <c r="H16" s="25">
        <f>sumifs(result!$M:$M,result!$B:$B,$A16,result!$H:$H,H$1)</f>
        <v>0</v>
      </c>
      <c r="I16" s="25">
        <f t="shared" si="1"/>
        <v>0</v>
      </c>
    </row>
    <row r="17">
      <c r="B17" s="25">
        <f>sumifs(result!$M:$M,result!$B:$B,$A17,result!$H:$H,B$1)</f>
        <v>0</v>
      </c>
      <c r="C17" s="25">
        <f>sumifs(result!$M:$M,result!$B:$B,$A17,result!$H:$H,C$1)</f>
        <v>0</v>
      </c>
      <c r="D17" s="25">
        <f>sumifs(result!$M:$M,result!$B:$B,$A17,result!$H:$H,D$1)</f>
        <v>0</v>
      </c>
      <c r="E17" s="25">
        <f>sumifs(result!$M:$M,result!$B:$B,$A17,result!$H:$H,E$1)</f>
        <v>0</v>
      </c>
      <c r="F17" s="25">
        <f>sumifs(result!$M:$M,result!$B:$B,$A17,result!$H:$H,F$1)</f>
        <v>0</v>
      </c>
      <c r="G17" s="25">
        <f>sumifs(result!$M:$M,result!$B:$B,$A17,result!$H:$H,G$1)</f>
        <v>0</v>
      </c>
      <c r="H17" s="25">
        <f>sumifs(result!$M:$M,result!$B:$B,$A17,result!$H:$H,H$1)</f>
        <v>0</v>
      </c>
      <c r="I17" s="25">
        <f t="shared" si="1"/>
        <v>0</v>
      </c>
    </row>
    <row r="18">
      <c r="B18" s="25">
        <f>sumifs(result!$M:$M,result!$B:$B,$A18,result!$H:$H,B$1)</f>
        <v>0</v>
      </c>
      <c r="C18" s="25">
        <f>sumifs(result!$M:$M,result!$B:$B,$A18,result!$H:$H,C$1)</f>
        <v>0</v>
      </c>
      <c r="D18" s="25">
        <f>sumifs(result!$M:$M,result!$B:$B,$A18,result!$H:$H,D$1)</f>
        <v>0</v>
      </c>
      <c r="E18" s="25">
        <f>sumifs(result!$M:$M,result!$B:$B,$A18,result!$H:$H,E$1)</f>
        <v>0</v>
      </c>
      <c r="F18" s="25">
        <f>sumifs(result!$M:$M,result!$B:$B,$A18,result!$H:$H,F$1)</f>
        <v>0</v>
      </c>
      <c r="G18" s="25">
        <f>sumifs(result!$M:$M,result!$B:$B,$A18,result!$H:$H,G$1)</f>
        <v>0</v>
      </c>
      <c r="H18" s="25">
        <f>sumifs(result!$M:$M,result!$B:$B,$A18,result!$H:$H,H$1)</f>
        <v>0</v>
      </c>
      <c r="I18" s="25">
        <f t="shared" si="1"/>
        <v>0</v>
      </c>
    </row>
    <row r="19">
      <c r="B19" s="25">
        <f>sumifs(result!$M:$M,result!$B:$B,$A19,result!$H:$H,B$1)</f>
        <v>0</v>
      </c>
      <c r="C19" s="25">
        <f>sumifs(result!$M:$M,result!$B:$B,$A19,result!$H:$H,C$1)</f>
        <v>0</v>
      </c>
      <c r="D19" s="25">
        <f>sumifs(result!$M:$M,result!$B:$B,$A19,result!$H:$H,D$1)</f>
        <v>0</v>
      </c>
      <c r="E19" s="25">
        <f>sumifs(result!$M:$M,result!$B:$B,$A19,result!$H:$H,E$1)</f>
        <v>0</v>
      </c>
      <c r="F19" s="25">
        <f>sumifs(result!$M:$M,result!$B:$B,$A19,result!$H:$H,F$1)</f>
        <v>0</v>
      </c>
      <c r="G19" s="25">
        <f>sumifs(result!$M:$M,result!$B:$B,$A19,result!$H:$H,G$1)</f>
        <v>0</v>
      </c>
      <c r="H19" s="25">
        <f>sumifs(result!$M:$M,result!$B:$B,$A19,result!$H:$H,H$1)</f>
        <v>0</v>
      </c>
      <c r="I19" s="25">
        <f t="shared" si="1"/>
        <v>0</v>
      </c>
    </row>
    <row r="20">
      <c r="B20" s="25">
        <f>sumifs(result!$M:$M,result!$B:$B,$A20,result!$H:$H,B$1)</f>
        <v>0</v>
      </c>
      <c r="C20" s="25">
        <f>sumifs(result!$M:$M,result!$B:$B,$A20,result!$H:$H,C$1)</f>
        <v>0</v>
      </c>
      <c r="D20" s="25">
        <f>sumifs(result!$M:$M,result!$B:$B,$A20,result!$H:$H,D$1)</f>
        <v>0</v>
      </c>
      <c r="E20" s="25">
        <f>sumifs(result!$M:$M,result!$B:$B,$A20,result!$H:$H,E$1)</f>
        <v>0</v>
      </c>
      <c r="F20" s="25">
        <f>sumifs(result!$M:$M,result!$B:$B,$A20,result!$H:$H,F$1)</f>
        <v>0</v>
      </c>
      <c r="G20" s="25">
        <f>sumifs(result!$M:$M,result!$B:$B,$A20,result!$H:$H,G$1)</f>
        <v>0</v>
      </c>
      <c r="H20" s="25">
        <f>sumifs(result!$M:$M,result!$B:$B,$A20,result!$H:$H,H$1)</f>
        <v>0</v>
      </c>
      <c r="I20" s="25">
        <f t="shared" si="1"/>
        <v>0</v>
      </c>
    </row>
    <row r="21">
      <c r="B21" s="25">
        <f>sumifs(result!$M:$M,result!$B:$B,$A21,result!$H:$H,B$1)</f>
        <v>0</v>
      </c>
      <c r="C21" s="25">
        <f>sumifs(result!$M:$M,result!$B:$B,$A21,result!$H:$H,C$1)</f>
        <v>0</v>
      </c>
      <c r="D21" s="25">
        <f>sumifs(result!$M:$M,result!$B:$B,$A21,result!$H:$H,D$1)</f>
        <v>0</v>
      </c>
      <c r="E21" s="25">
        <f>sumifs(result!$M:$M,result!$B:$B,$A21,result!$H:$H,E$1)</f>
        <v>0</v>
      </c>
      <c r="F21" s="25">
        <f>sumifs(result!$M:$M,result!$B:$B,$A21,result!$H:$H,F$1)</f>
        <v>0</v>
      </c>
      <c r="G21" s="25">
        <f>sumifs(result!$M:$M,result!$B:$B,$A21,result!$H:$H,G$1)</f>
        <v>0</v>
      </c>
      <c r="H21" s="25">
        <f>sumifs(result!$M:$M,result!$B:$B,$A21,result!$H:$H,H$1)</f>
        <v>0</v>
      </c>
      <c r="I21" s="25">
        <f t="shared" si="1"/>
        <v>0</v>
      </c>
    </row>
  </sheetData>
  <drawing r:id="rId1"/>
</worksheet>
</file>